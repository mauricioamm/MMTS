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Plan1" sheetId="19" r:id="rId1"/>
    <sheet name="Plan3" sheetId="21" r:id="rId2"/>
    <sheet name="Plan2" sheetId="20" r:id="rId3"/>
    <sheet name="TesteCA,AC 1" sheetId="16" r:id="rId4"/>
    <sheet name="Plan4" sheetId="22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16" l="1"/>
  <c r="E53" i="16"/>
  <c r="F53" i="16"/>
  <c r="C53" i="16"/>
  <c r="D51" i="16"/>
  <c r="E51" i="16"/>
  <c r="F51" i="16"/>
  <c r="C51" i="16"/>
  <c r="D49" i="16"/>
  <c r="E49" i="16"/>
  <c r="F49" i="16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O52" i="16" l="1"/>
  <c r="O53" i="16" s="1"/>
  <c r="O54" i="16" s="1"/>
  <c r="O55" i="16" s="1"/>
  <c r="O56" i="16" s="1"/>
  <c r="O57" i="16" s="1"/>
  <c r="O58" i="16" s="1"/>
  <c r="U61" i="16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<sst xmlns="http://schemas.openxmlformats.org/spreadsheetml/2006/main" count="997" uniqueCount="75">
  <si>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</si>
  <si>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</si>
  <si>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</si>
  <si>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</si>
  <si>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</si>
  <si>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</si>
  <si>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</si>
  <si>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</si>
  <si>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</si>
  <si>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</si>
  <si>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</si>
  <si>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</si>
  <si>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</si>
  <si>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</si>
  <si>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</si>
  <si>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</si>
  <si>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</si>
  <si>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</si>
  <si>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</si>
  <si>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</si>
  <si>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</si>
  <si>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</si>
  <si>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</si>
  <si>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</si>
  <si>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</si>
  <si>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</si>
  <si>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</si>
  <si>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</si>
  <si>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</si>
  <si>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</si>
  <si>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</si>
  <si>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</si>
  <si>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</si>
  <si>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</si>
  <si>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</si>
  <si>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</si>
  <si>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</si>
  <si>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</si>
  <si>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</si>
  <si>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</si>
  <si>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</si>
  <si>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</si>
  <si>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</si>
  <si>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</si>
  <si>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</si>
  <si>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</si>
  <si>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</si>
  <si>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</si>
  <si>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</si>
  <si>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</si>
  <si>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</si>
  <si>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</si>
  <si>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</si>
  <si>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</si>
  <si>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</si>
  <si>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</si>
  <si>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</si>
  <si>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A1E1</t>
  </si>
  <si>
    <t>E2A2</t>
  </si>
  <si>
    <t>A2E2</t>
  </si>
  <si>
    <t>E3A3</t>
  </si>
  <si>
    <t>E1A1</t>
  </si>
  <si>
    <t>A3E3</t>
  </si>
  <si>
    <t>c:\DELPHI\Figuras\UESBmts\E1.jpg</t>
  </si>
  <si>
    <t>c:\DELPHI\Figuras\UESBmts\E2.jpg</t>
  </si>
  <si>
    <t>c:\DELPHI\Figuras\UESBmts\E3.jpg</t>
  </si>
  <si>
    <t>B1A1</t>
  </si>
  <si>
    <t>B3A3</t>
  </si>
  <si>
    <t>B2A2</t>
  </si>
  <si>
    <t>A3B3</t>
  </si>
  <si>
    <t>A1B1</t>
  </si>
  <si>
    <t>A2B2</t>
  </si>
  <si>
    <t>c:\DELPHI\Figuras\UESBmts\B1.jpg</t>
  </si>
  <si>
    <t>c:\DELPHI\Figuras\UESBmts\B2.jpg</t>
  </si>
  <si>
    <t>c:\DELPHI\Figuras\UESBmts\B3.jpg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</si>
</sst>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" fillId="6" borderId="0" xfId="0" applyFont="1" applyFill="1" applyBorder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abSelected="1" zoomScale="90" zoomScaleNormal="90" workbookViewId="0">
      <selection activeCell="J7" sqref="J7"/>
    </sheetView>
  </sheetViews>
  <sheetFormatPr defaultRowHeight="15" x14ac:dyDescent="0.25"/>
  <cols>
    <col min="1" max="1" width="8.28515625" style="29" customWidth="1"/>
    <col min="2" max="2" width="10.28515625" style="4" customWidth="1"/>
    <col min="3" max="7" width="31.5703125" style="22" customWidth="1"/>
    <col min="8" max="8" width="3" style="22" customWidth="1"/>
    <col min="9" max="11" width="8.7109375" style="22" customWidth="1"/>
    <col min="12" max="12" width="19.42578125" style="2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28" t="s">
        <v>20</v>
      </c>
      <c r="B1" s="23" t="s">
        <v>21</v>
      </c>
      <c r="C1" s="23" t="s">
        <v>22</v>
      </c>
      <c r="D1" s="23" t="s">
        <v>23</v>
      </c>
      <c r="E1" s="23" t="s">
        <v>24</v>
      </c>
      <c r="F1" s="31" t="s">
        <v>25</v>
      </c>
      <c r="G1" s="31" t="s">
        <v>26</v>
      </c>
      <c r="H1" s="23" t="s">
        <v>27</v>
      </c>
      <c r="I1" s="23" t="s">
        <v>28</v>
      </c>
      <c r="J1" s="24" t="s">
        <v>29</v>
      </c>
      <c r="K1" s="24" t="s">
        <v>30</v>
      </c>
      <c r="L1" s="24" t="s">
        <v>31</v>
      </c>
      <c r="M1" s="24" t="s">
        <v>32</v>
      </c>
      <c r="N1" s="24" t="s">
        <v>33</v>
      </c>
    </row>
    <row r="2" spans="1:14" s="26" customFormat="1" x14ac:dyDescent="0.25">
      <c r="A2" s="32" t="s">
        <v>39</v>
      </c>
      <c r="B2" s="25"/>
      <c r="C2" s="25"/>
      <c r="D2" s="25"/>
      <c r="E2" s="25"/>
      <c r="F2" s="25"/>
      <c r="G2" s="25"/>
      <c r="H2" s="25"/>
      <c r="I2" s="25"/>
      <c r="J2" s="5"/>
      <c r="K2" s="5"/>
      <c r="L2" s="5"/>
      <c r="M2" s="5"/>
      <c r="N2" s="5"/>
    </row>
    <row r="3" spans="1:14" x14ac:dyDescent="0.25">
      <c r="A3" s="32" t="s">
        <v>38</v>
      </c>
      <c r="B3" s="36" t="s">
        <v>66</v>
      </c>
      <c r="C3" s="43" t="s">
        <v>72</v>
      </c>
      <c r="D3" s="40" t="s">
        <v>35</v>
      </c>
      <c r="E3" s="40" t="s">
        <v>37</v>
      </c>
      <c r="F3" s="40" t="s">
        <v>36</v>
      </c>
      <c r="G3" s="48" t="s">
        <v>34</v>
      </c>
      <c r="H3" s="34">
        <v>0</v>
      </c>
      <c r="I3" s="36">
        <v>3</v>
      </c>
      <c r="M3" s="22"/>
      <c r="N3" s="22"/>
    </row>
    <row r="4" spans="1:14" x14ac:dyDescent="0.25">
      <c r="A4" s="32" t="s">
        <v>40</v>
      </c>
      <c r="B4" s="40" t="s">
        <v>69</v>
      </c>
      <c r="C4" s="44" t="s">
        <v>36</v>
      </c>
      <c r="D4" s="12" t="s">
        <v>73</v>
      </c>
      <c r="E4" s="12" t="s">
        <v>37</v>
      </c>
      <c r="F4" s="12" t="s">
        <v>72</v>
      </c>
      <c r="G4" s="49" t="s">
        <v>74</v>
      </c>
      <c r="H4" s="34">
        <v>0</v>
      </c>
      <c r="I4" s="12">
        <v>3</v>
      </c>
      <c r="M4" s="22"/>
      <c r="N4" s="22"/>
    </row>
    <row r="5" spans="1:14" x14ac:dyDescent="0.25">
      <c r="A5" s="32" t="s">
        <v>41</v>
      </c>
      <c r="B5" s="36" t="s">
        <v>70</v>
      </c>
      <c r="C5" s="44" t="s">
        <v>34</v>
      </c>
      <c r="D5" s="12" t="s">
        <v>74</v>
      </c>
      <c r="E5" s="49" t="s">
        <v>72</v>
      </c>
      <c r="F5" s="12" t="s">
        <v>37</v>
      </c>
      <c r="G5" s="12" t="s">
        <v>73</v>
      </c>
      <c r="H5" s="34">
        <v>0</v>
      </c>
      <c r="I5" s="12">
        <v>2</v>
      </c>
      <c r="M5" s="22"/>
      <c r="N5" s="22"/>
    </row>
    <row r="6" spans="1:14" x14ac:dyDescent="0.25">
      <c r="A6" s="32" t="s">
        <v>42</v>
      </c>
      <c r="B6" s="36" t="s">
        <v>70</v>
      </c>
      <c r="C6" s="44" t="s">
        <v>34</v>
      </c>
      <c r="D6" s="12" t="s">
        <v>73</v>
      </c>
      <c r="E6" s="12" t="s">
        <v>74</v>
      </c>
      <c r="F6" s="49" t="s">
        <v>72</v>
      </c>
      <c r="G6" s="12" t="s">
        <v>37</v>
      </c>
      <c r="H6" s="34">
        <v>0</v>
      </c>
      <c r="I6" s="12">
        <v>4</v>
      </c>
      <c r="M6" s="22"/>
      <c r="N6" s="22"/>
    </row>
    <row r="7" spans="1:14" x14ac:dyDescent="0.25">
      <c r="A7" s="32" t="s">
        <v>43</v>
      </c>
      <c r="B7" s="36" t="s">
        <v>66</v>
      </c>
      <c r="C7" s="43" t="s">
        <v>72</v>
      </c>
      <c r="D7" s="40" t="s">
        <v>36</v>
      </c>
      <c r="E7" s="40" t="s">
        <v>35</v>
      </c>
      <c r="F7" s="40" t="s">
        <v>37</v>
      </c>
      <c r="G7" s="48" t="s">
        <v>34</v>
      </c>
      <c r="H7" s="34">
        <v>0</v>
      </c>
      <c r="I7" s="36">
        <v>3</v>
      </c>
      <c r="M7" s="22"/>
      <c r="N7" s="22"/>
    </row>
    <row r="8" spans="1:14" x14ac:dyDescent="0.25">
      <c r="A8" s="32" t="s">
        <v>44</v>
      </c>
      <c r="B8" s="40" t="s">
        <v>71</v>
      </c>
      <c r="C8" s="44" t="s">
        <v>35</v>
      </c>
      <c r="D8" s="49" t="s">
        <v>73</v>
      </c>
      <c r="E8" s="12" t="s">
        <v>37</v>
      </c>
      <c r="F8" s="12" t="s">
        <v>72</v>
      </c>
      <c r="G8" s="12" t="s">
        <v>74</v>
      </c>
      <c r="H8" s="34">
        <v>0</v>
      </c>
      <c r="I8" s="12">
        <v>1</v>
      </c>
      <c r="M8" s="22"/>
      <c r="N8" s="22"/>
    </row>
    <row r="9" spans="1:14" ht="14.25" customHeight="1" x14ac:dyDescent="0.25">
      <c r="A9" s="32" t="s">
        <v>45</v>
      </c>
      <c r="B9" s="36" t="s">
        <v>68</v>
      </c>
      <c r="C9" s="43" t="s">
        <v>73</v>
      </c>
      <c r="D9" s="40" t="s">
        <v>37</v>
      </c>
      <c r="E9" s="48" t="s">
        <v>35</v>
      </c>
      <c r="F9" s="40" t="s">
        <v>34</v>
      </c>
      <c r="G9" s="40" t="s">
        <v>36</v>
      </c>
      <c r="H9" s="34">
        <v>0</v>
      </c>
      <c r="I9" s="36">
        <v>2</v>
      </c>
      <c r="M9" s="22"/>
      <c r="N9" s="22"/>
    </row>
    <row r="10" spans="1:14" x14ac:dyDescent="0.25">
      <c r="A10" s="32" t="s">
        <v>46</v>
      </c>
      <c r="B10" s="40" t="s">
        <v>69</v>
      </c>
      <c r="C10" s="44" t="s">
        <v>36</v>
      </c>
      <c r="D10" s="49" t="s">
        <v>74</v>
      </c>
      <c r="E10" s="12" t="s">
        <v>37</v>
      </c>
      <c r="F10" s="12" t="s">
        <v>73</v>
      </c>
      <c r="G10" s="12" t="s">
        <v>72</v>
      </c>
      <c r="H10" s="34">
        <v>0</v>
      </c>
      <c r="I10" s="12">
        <v>1</v>
      </c>
      <c r="M10" s="22"/>
      <c r="N10" s="22"/>
    </row>
    <row r="11" spans="1:14" x14ac:dyDescent="0.25">
      <c r="A11" s="32" t="s">
        <v>47</v>
      </c>
      <c r="B11" s="36" t="s">
        <v>70</v>
      </c>
      <c r="C11" s="44" t="s">
        <v>34</v>
      </c>
      <c r="D11" s="12" t="s">
        <v>37</v>
      </c>
      <c r="E11" s="12" t="s">
        <v>72</v>
      </c>
      <c r="F11" s="12" t="s">
        <v>74</v>
      </c>
      <c r="G11" s="49" t="s">
        <v>73</v>
      </c>
      <c r="H11" s="34">
        <v>0</v>
      </c>
      <c r="I11" s="12">
        <v>2</v>
      </c>
      <c r="M11" s="22"/>
      <c r="N11" s="22"/>
    </row>
    <row r="12" spans="1:14" x14ac:dyDescent="0.25">
      <c r="A12" s="32" t="s">
        <v>48</v>
      </c>
      <c r="B12" s="36" t="s">
        <v>67</v>
      </c>
      <c r="C12" s="43" t="s">
        <v>74</v>
      </c>
      <c r="D12" s="40" t="s">
        <v>35</v>
      </c>
      <c r="E12" s="48" t="s">
        <v>36</v>
      </c>
      <c r="F12" s="40" t="s">
        <v>37</v>
      </c>
      <c r="G12" s="40" t="s">
        <v>34</v>
      </c>
      <c r="H12" s="34">
        <v>0</v>
      </c>
      <c r="I12" s="36">
        <v>2</v>
      </c>
      <c r="M12" s="22"/>
      <c r="N12" s="22"/>
    </row>
    <row r="13" spans="1:14" x14ac:dyDescent="0.25">
      <c r="A13" s="32" t="s">
        <v>49</v>
      </c>
      <c r="B13" s="36" t="s">
        <v>67</v>
      </c>
      <c r="C13" s="43" t="s">
        <v>74</v>
      </c>
      <c r="D13" s="48" t="s">
        <v>36</v>
      </c>
      <c r="E13" s="40" t="s">
        <v>34</v>
      </c>
      <c r="F13" s="40" t="s">
        <v>37</v>
      </c>
      <c r="G13" s="40" t="s">
        <v>35</v>
      </c>
      <c r="H13" s="34">
        <v>0</v>
      </c>
      <c r="I13" s="36">
        <v>1</v>
      </c>
      <c r="M13" s="22"/>
      <c r="N13" s="22"/>
    </row>
    <row r="14" spans="1:14" x14ac:dyDescent="0.25">
      <c r="A14" s="32" t="s">
        <v>50</v>
      </c>
      <c r="B14" s="36" t="s">
        <v>68</v>
      </c>
      <c r="C14" s="43" t="s">
        <v>73</v>
      </c>
      <c r="D14" s="40" t="s">
        <v>36</v>
      </c>
      <c r="E14" s="40" t="s">
        <v>37</v>
      </c>
      <c r="F14" s="48" t="s">
        <v>35</v>
      </c>
      <c r="G14" s="40" t="s">
        <v>34</v>
      </c>
      <c r="H14" s="34">
        <v>0</v>
      </c>
      <c r="I14" s="36">
        <v>4</v>
      </c>
      <c r="M14" s="22"/>
      <c r="N14" s="22"/>
    </row>
    <row r="15" spans="1:14" x14ac:dyDescent="0.25">
      <c r="A15" s="32" t="s">
        <v>51</v>
      </c>
      <c r="B15" s="40" t="s">
        <v>71</v>
      </c>
      <c r="C15" s="44" t="s">
        <v>35</v>
      </c>
      <c r="D15" s="12" t="s">
        <v>37</v>
      </c>
      <c r="E15" s="49" t="s">
        <v>73</v>
      </c>
      <c r="F15" s="12" t="s">
        <v>74</v>
      </c>
      <c r="G15" s="12" t="s">
        <v>72</v>
      </c>
      <c r="H15" s="34">
        <v>0</v>
      </c>
      <c r="I15" s="12">
        <v>2</v>
      </c>
      <c r="M15" s="22"/>
      <c r="N15" s="22"/>
    </row>
    <row r="16" spans="1:14" x14ac:dyDescent="0.25">
      <c r="A16" s="32" t="s">
        <v>52</v>
      </c>
      <c r="B16" s="36" t="s">
        <v>66</v>
      </c>
      <c r="C16" s="43" t="s">
        <v>72</v>
      </c>
      <c r="D16" s="40" t="s">
        <v>37</v>
      </c>
      <c r="E16" s="48" t="s">
        <v>34</v>
      </c>
      <c r="F16" s="40" t="s">
        <v>35</v>
      </c>
      <c r="G16" s="40" t="s">
        <v>36</v>
      </c>
      <c r="H16" s="34">
        <v>0</v>
      </c>
      <c r="I16" s="36">
        <v>2</v>
      </c>
      <c r="M16" s="22"/>
      <c r="N16" s="22"/>
    </row>
    <row r="17" spans="1:14" x14ac:dyDescent="0.25">
      <c r="A17" s="32" t="s">
        <v>53</v>
      </c>
      <c r="B17" s="36" t="s">
        <v>68</v>
      </c>
      <c r="C17" s="43" t="s">
        <v>73</v>
      </c>
      <c r="D17" s="40" t="s">
        <v>37</v>
      </c>
      <c r="E17" s="40" t="s">
        <v>34</v>
      </c>
      <c r="F17" s="40" t="s">
        <v>36</v>
      </c>
      <c r="G17" s="48" t="s">
        <v>35</v>
      </c>
      <c r="H17" s="34">
        <v>0</v>
      </c>
      <c r="I17" s="36">
        <v>3</v>
      </c>
      <c r="M17" s="22"/>
      <c r="N17" s="22"/>
    </row>
    <row r="18" spans="1:14" x14ac:dyDescent="0.25">
      <c r="A18" s="32" t="s">
        <v>54</v>
      </c>
      <c r="B18" s="40" t="s">
        <v>71</v>
      </c>
      <c r="C18" s="44" t="s">
        <v>35</v>
      </c>
      <c r="D18" s="12" t="s">
        <v>74</v>
      </c>
      <c r="E18" s="49" t="s">
        <v>73</v>
      </c>
      <c r="F18" s="12" t="s">
        <v>37</v>
      </c>
      <c r="G18" s="12" t="s">
        <v>72</v>
      </c>
      <c r="H18" s="34">
        <v>0</v>
      </c>
      <c r="I18" s="12">
        <v>2</v>
      </c>
      <c r="M18" s="22"/>
      <c r="N18" s="22"/>
    </row>
    <row r="19" spans="1:14" x14ac:dyDescent="0.25">
      <c r="A19" s="32" t="s">
        <v>55</v>
      </c>
      <c r="B19" s="40" t="s">
        <v>69</v>
      </c>
      <c r="C19" s="44" t="s">
        <v>36</v>
      </c>
      <c r="D19" s="12" t="s">
        <v>73</v>
      </c>
      <c r="E19" s="12" t="s">
        <v>72</v>
      </c>
      <c r="F19" s="12" t="s">
        <v>37</v>
      </c>
      <c r="G19" s="49" t="s">
        <v>74</v>
      </c>
      <c r="H19" s="34">
        <v>0</v>
      </c>
      <c r="I19" s="12">
        <v>3</v>
      </c>
    </row>
    <row r="20" spans="1:14" x14ac:dyDescent="0.25">
      <c r="A20" s="32" t="s">
        <v>56</v>
      </c>
      <c r="B20" s="36" t="s">
        <v>67</v>
      </c>
      <c r="C20" s="43" t="s">
        <v>74</v>
      </c>
      <c r="D20" s="40" t="s">
        <v>34</v>
      </c>
      <c r="E20" s="40" t="s">
        <v>37</v>
      </c>
      <c r="F20" s="48" t="s">
        <v>36</v>
      </c>
      <c r="G20" s="40" t="s">
        <v>35</v>
      </c>
      <c r="H20" s="34">
        <v>0</v>
      </c>
      <c r="I20" s="36">
        <v>4</v>
      </c>
    </row>
    <row r="21" spans="1:14" x14ac:dyDescent="0.25">
      <c r="A21" s="32"/>
      <c r="B21" s="3"/>
      <c r="C21" s="30"/>
      <c r="D21" s="30"/>
      <c r="E21" s="30"/>
      <c r="F21" s="30"/>
      <c r="G21" s="30"/>
      <c r="H21" s="30"/>
      <c r="I21" s="30"/>
      <c r="J21" s="12"/>
    </row>
    <row r="22" spans="1:14" x14ac:dyDescent="0.25">
      <c r="A22" s="32"/>
      <c r="B22" s="3"/>
      <c r="C22" s="30"/>
      <c r="D22" s="30"/>
      <c r="E22" s="30"/>
      <c r="G22" s="30"/>
      <c r="H22" s="30"/>
      <c r="I22" s="30"/>
      <c r="J22" s="12"/>
    </row>
    <row r="23" spans="1:14" x14ac:dyDescent="0.25">
      <c r="A23" s="32"/>
      <c r="J23" s="12"/>
    </row>
    <row r="24" spans="1:14" x14ac:dyDescent="0.25">
      <c r="A24" s="32"/>
      <c r="J24" s="12"/>
    </row>
    <row r="25" spans="1:14" x14ac:dyDescent="0.25">
      <c r="A25" s="32"/>
      <c r="J25" s="12"/>
    </row>
    <row r="26" spans="1:14" x14ac:dyDescent="0.25">
      <c r="A26" s="32"/>
      <c r="J26" s="12"/>
    </row>
    <row r="27" spans="1:14" x14ac:dyDescent="0.25">
      <c r="A27" s="32"/>
      <c r="J27" s="12"/>
    </row>
    <row r="28" spans="1:14" x14ac:dyDescent="0.25">
      <c r="A28" s="32"/>
      <c r="J28" s="12"/>
    </row>
    <row r="29" spans="1:14" x14ac:dyDescent="0.25">
      <c r="A29" s="32"/>
      <c r="J29" s="12"/>
    </row>
    <row r="30" spans="1:14" x14ac:dyDescent="0.25">
      <c r="A30" s="32"/>
      <c r="J30" s="12"/>
    </row>
    <row r="31" spans="1:14" x14ac:dyDescent="0.25">
      <c r="A31" s="32"/>
      <c r="J31" s="12"/>
    </row>
    <row r="32" spans="1:14" x14ac:dyDescent="0.25">
      <c r="A32" s="32"/>
      <c r="J32" s="12"/>
    </row>
    <row r="33" spans="1:10" x14ac:dyDescent="0.25">
      <c r="A33" s="32"/>
      <c r="J33" s="12"/>
    </row>
    <row r="34" spans="1:10" x14ac:dyDescent="0.25">
      <c r="A34" s="32"/>
      <c r="J34" s="12"/>
    </row>
    <row r="35" spans="1:10" x14ac:dyDescent="0.25">
      <c r="A35" s="32"/>
      <c r="J35" s="12"/>
    </row>
    <row r="36" spans="1:10" x14ac:dyDescent="0.25">
      <c r="A36" s="32"/>
      <c r="J36" s="12"/>
    </row>
    <row r="37" spans="1:10" x14ac:dyDescent="0.25">
      <c r="A37" s="32"/>
      <c r="J37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workbookViewId="0">
      <selection activeCell="C1" sqref="C1"/>
    </sheetView>
  </sheetViews>
  <sheetFormatPr defaultRowHeight="15" x14ac:dyDescent="0.25"/>
  <cols>
    <col min="1" max="1" width="4.5703125" customWidth="1"/>
    <col min="2" max="2" width="10.28515625" style="4" customWidth="1"/>
    <col min="3" max="7" width="31.5703125" style="35" customWidth="1"/>
    <col min="8" max="8" width="3" style="35" customWidth="1"/>
    <col min="9" max="9" width="8.7109375" style="35" customWidth="1"/>
  </cols>
  <sheetData>
    <row r="1" spans="1:9" x14ac:dyDescent="0.25">
      <c r="A1">
        <v>1</v>
      </c>
      <c r="B1" s="12" t="s">
        <v>59</v>
      </c>
      <c r="C1" s="12" t="s">
        <v>35</v>
      </c>
      <c r="D1" s="12" t="s">
        <v>63</v>
      </c>
      <c r="E1" s="12" t="s">
        <v>65</v>
      </c>
      <c r="F1" s="12" t="s">
        <v>37</v>
      </c>
      <c r="G1" s="12" t="s">
        <v>64</v>
      </c>
      <c r="H1" s="34">
        <v>0</v>
      </c>
      <c r="I1" s="12">
        <v>3</v>
      </c>
    </row>
    <row r="2" spans="1:9" x14ac:dyDescent="0.25">
      <c r="A2">
        <v>2</v>
      </c>
      <c r="B2" s="12" t="s">
        <v>61</v>
      </c>
      <c r="C2" s="12" t="s">
        <v>63</v>
      </c>
      <c r="D2" s="12" t="s">
        <v>34</v>
      </c>
      <c r="E2" s="12" t="s">
        <v>37</v>
      </c>
      <c r="F2" s="12" t="s">
        <v>36</v>
      </c>
      <c r="G2" s="12" t="s">
        <v>35</v>
      </c>
      <c r="H2" s="34">
        <v>0</v>
      </c>
      <c r="I2" s="12">
        <v>1</v>
      </c>
    </row>
    <row r="3" spans="1:9" x14ac:dyDescent="0.25">
      <c r="A3">
        <v>3</v>
      </c>
      <c r="B3" s="12" t="s">
        <v>61</v>
      </c>
      <c r="C3" s="12" t="s">
        <v>63</v>
      </c>
      <c r="D3" s="12" t="s">
        <v>37</v>
      </c>
      <c r="E3" s="12" t="s">
        <v>35</v>
      </c>
      <c r="F3" s="12" t="s">
        <v>34</v>
      </c>
      <c r="G3" s="12" t="s">
        <v>36</v>
      </c>
      <c r="H3" s="34">
        <v>0</v>
      </c>
      <c r="I3" s="12">
        <v>4</v>
      </c>
    </row>
    <row r="4" spans="1:9" x14ac:dyDescent="0.25">
      <c r="A4">
        <v>4</v>
      </c>
      <c r="B4" s="12" t="s">
        <v>62</v>
      </c>
      <c r="C4" s="12" t="s">
        <v>36</v>
      </c>
      <c r="D4" s="12" t="s">
        <v>64</v>
      </c>
      <c r="E4" s="12" t="s">
        <v>63</v>
      </c>
      <c r="F4" s="12" t="s">
        <v>37</v>
      </c>
      <c r="G4" s="12" t="s">
        <v>65</v>
      </c>
      <c r="H4" s="34">
        <v>0</v>
      </c>
      <c r="I4" s="12">
        <v>3</v>
      </c>
    </row>
    <row r="5" spans="1:9" x14ac:dyDescent="0.25">
      <c r="A5">
        <v>5</v>
      </c>
      <c r="B5" s="12" t="s">
        <v>60</v>
      </c>
      <c r="C5" s="12" t="s">
        <v>65</v>
      </c>
      <c r="D5" s="12" t="s">
        <v>37</v>
      </c>
      <c r="E5" s="12" t="s">
        <v>36</v>
      </c>
      <c r="F5" s="12" t="s">
        <v>34</v>
      </c>
      <c r="G5" s="12" t="s">
        <v>35</v>
      </c>
      <c r="H5" s="34">
        <v>0</v>
      </c>
      <c r="I5" s="12">
        <v>2</v>
      </c>
    </row>
    <row r="6" spans="1:9" x14ac:dyDescent="0.25">
      <c r="A6">
        <v>6</v>
      </c>
      <c r="B6" s="12" t="s">
        <v>58</v>
      </c>
      <c r="C6" s="12" t="s">
        <v>64</v>
      </c>
      <c r="D6" s="12" t="s">
        <v>35</v>
      </c>
      <c r="E6" s="12" t="s">
        <v>34</v>
      </c>
      <c r="F6" s="12" t="s">
        <v>36</v>
      </c>
      <c r="G6" s="12" t="s">
        <v>37</v>
      </c>
      <c r="H6" s="34">
        <v>0</v>
      </c>
      <c r="I6" s="12">
        <v>1</v>
      </c>
    </row>
    <row r="7" spans="1:9" x14ac:dyDescent="0.25">
      <c r="A7">
        <v>7</v>
      </c>
      <c r="B7" s="12" t="s">
        <v>59</v>
      </c>
      <c r="C7" s="12" t="s">
        <v>35</v>
      </c>
      <c r="D7" s="12" t="s">
        <v>37</v>
      </c>
      <c r="E7" s="12" t="s">
        <v>64</v>
      </c>
      <c r="F7" s="12" t="s">
        <v>63</v>
      </c>
      <c r="G7" s="12" t="s">
        <v>65</v>
      </c>
      <c r="H7" s="34">
        <v>0</v>
      </c>
      <c r="I7" s="12">
        <v>2</v>
      </c>
    </row>
    <row r="8" spans="1:9" x14ac:dyDescent="0.25">
      <c r="A8">
        <v>8</v>
      </c>
      <c r="B8" s="12" t="s">
        <v>60</v>
      </c>
      <c r="C8" s="12" t="s">
        <v>65</v>
      </c>
      <c r="D8" s="12" t="s">
        <v>37</v>
      </c>
      <c r="E8" s="12" t="s">
        <v>34</v>
      </c>
      <c r="F8" s="12" t="s">
        <v>36</v>
      </c>
      <c r="G8" s="12" t="s">
        <v>35</v>
      </c>
      <c r="H8" s="34">
        <v>0</v>
      </c>
      <c r="I8" s="12">
        <v>4</v>
      </c>
    </row>
    <row r="9" spans="1:9" x14ac:dyDescent="0.25">
      <c r="A9">
        <v>9</v>
      </c>
      <c r="B9" s="12" t="s">
        <v>61</v>
      </c>
      <c r="C9" s="12" t="s">
        <v>63</v>
      </c>
      <c r="D9" s="12" t="s">
        <v>34</v>
      </c>
      <c r="E9" s="12" t="s">
        <v>37</v>
      </c>
      <c r="F9" s="12" t="s">
        <v>35</v>
      </c>
      <c r="G9" s="12" t="s">
        <v>36</v>
      </c>
      <c r="H9" s="34">
        <v>0</v>
      </c>
      <c r="I9" s="12">
        <v>1</v>
      </c>
    </row>
    <row r="10" spans="1:9" x14ac:dyDescent="0.25">
      <c r="A10">
        <v>10</v>
      </c>
      <c r="B10" s="12" t="s">
        <v>57</v>
      </c>
      <c r="C10" s="12" t="s">
        <v>34</v>
      </c>
      <c r="D10" s="12" t="s">
        <v>37</v>
      </c>
      <c r="E10" s="12" t="s">
        <v>63</v>
      </c>
      <c r="F10" s="12" t="s">
        <v>65</v>
      </c>
      <c r="G10" s="12" t="s">
        <v>64</v>
      </c>
      <c r="H10" s="34">
        <v>0</v>
      </c>
      <c r="I10" s="12">
        <v>2</v>
      </c>
    </row>
    <row r="11" spans="1:9" x14ac:dyDescent="0.25">
      <c r="A11">
        <v>11</v>
      </c>
      <c r="B11" s="12" t="s">
        <v>57</v>
      </c>
      <c r="C11" s="12" t="s">
        <v>34</v>
      </c>
      <c r="D11" s="12" t="s">
        <v>65</v>
      </c>
      <c r="E11" s="12" t="s">
        <v>64</v>
      </c>
      <c r="F11" s="12" t="s">
        <v>63</v>
      </c>
      <c r="G11" s="12" t="s">
        <v>37</v>
      </c>
      <c r="H11" s="34">
        <v>0</v>
      </c>
      <c r="I11" s="12">
        <v>4</v>
      </c>
    </row>
    <row r="12" spans="1:9" x14ac:dyDescent="0.25">
      <c r="A12">
        <v>12</v>
      </c>
      <c r="B12" s="12" t="s">
        <v>60</v>
      </c>
      <c r="C12" s="12" t="s">
        <v>65</v>
      </c>
      <c r="D12" s="12" t="s">
        <v>34</v>
      </c>
      <c r="E12" s="12" t="s">
        <v>36</v>
      </c>
      <c r="F12" s="12" t="s">
        <v>37</v>
      </c>
      <c r="G12" s="12" t="s">
        <v>35</v>
      </c>
      <c r="H12" s="34">
        <v>0</v>
      </c>
      <c r="I12" s="12">
        <v>2</v>
      </c>
    </row>
    <row r="13" spans="1:9" x14ac:dyDescent="0.25">
      <c r="A13">
        <v>13</v>
      </c>
      <c r="B13" s="12" t="s">
        <v>58</v>
      </c>
      <c r="C13" s="12" t="s">
        <v>64</v>
      </c>
      <c r="D13" s="12" t="s">
        <v>35</v>
      </c>
      <c r="E13" s="12" t="s">
        <v>37</v>
      </c>
      <c r="F13" s="12" t="s">
        <v>36</v>
      </c>
      <c r="G13" s="12" t="s">
        <v>34</v>
      </c>
      <c r="H13" s="34">
        <v>0</v>
      </c>
      <c r="I13" s="12">
        <v>1</v>
      </c>
    </row>
    <row r="14" spans="1:9" x14ac:dyDescent="0.25">
      <c r="A14">
        <v>14</v>
      </c>
      <c r="B14" s="12" t="s">
        <v>61</v>
      </c>
      <c r="C14" s="12" t="s">
        <v>63</v>
      </c>
      <c r="D14" s="12" t="s">
        <v>35</v>
      </c>
      <c r="E14" s="12" t="s">
        <v>34</v>
      </c>
      <c r="F14" s="12" t="s">
        <v>37</v>
      </c>
      <c r="G14" s="12" t="s">
        <v>36</v>
      </c>
      <c r="H14" s="34">
        <v>0</v>
      </c>
      <c r="I14" s="12">
        <v>2</v>
      </c>
    </row>
    <row r="15" spans="1:9" x14ac:dyDescent="0.25">
      <c r="A15">
        <v>15</v>
      </c>
      <c r="B15" s="12" t="s">
        <v>59</v>
      </c>
      <c r="C15" s="12" t="s">
        <v>35</v>
      </c>
      <c r="D15" s="12" t="s">
        <v>64</v>
      </c>
      <c r="E15" s="12" t="s">
        <v>37</v>
      </c>
      <c r="F15" s="12" t="s">
        <v>63</v>
      </c>
      <c r="G15" s="12" t="s">
        <v>65</v>
      </c>
      <c r="H15" s="34">
        <v>0</v>
      </c>
      <c r="I15" s="12">
        <v>1</v>
      </c>
    </row>
    <row r="16" spans="1:9" x14ac:dyDescent="0.25">
      <c r="A16">
        <v>16</v>
      </c>
      <c r="B16" s="12" t="s">
        <v>58</v>
      </c>
      <c r="C16" s="12" t="s">
        <v>64</v>
      </c>
      <c r="D16" s="12" t="s">
        <v>34</v>
      </c>
      <c r="E16" s="12" t="s">
        <v>37</v>
      </c>
      <c r="F16" s="12" t="s">
        <v>36</v>
      </c>
      <c r="G16" s="12" t="s">
        <v>35</v>
      </c>
      <c r="H16" s="34">
        <v>0</v>
      </c>
      <c r="I16" s="12">
        <v>3</v>
      </c>
    </row>
    <row r="17" spans="1:9" x14ac:dyDescent="0.25">
      <c r="A17">
        <v>17</v>
      </c>
      <c r="B17" s="12" t="s">
        <v>60</v>
      </c>
      <c r="C17" s="12" t="s">
        <v>65</v>
      </c>
      <c r="D17" s="12" t="s">
        <v>36</v>
      </c>
      <c r="E17" s="12" t="s">
        <v>37</v>
      </c>
      <c r="F17" s="12" t="s">
        <v>35</v>
      </c>
      <c r="G17" s="12" t="s">
        <v>34</v>
      </c>
      <c r="H17" s="34">
        <v>0</v>
      </c>
      <c r="I17" s="12">
        <v>1</v>
      </c>
    </row>
    <row r="18" spans="1:9" x14ac:dyDescent="0.25">
      <c r="A18">
        <v>18</v>
      </c>
      <c r="B18" s="12" t="s">
        <v>62</v>
      </c>
      <c r="C18" s="12" t="s">
        <v>36</v>
      </c>
      <c r="D18" s="12" t="s">
        <v>63</v>
      </c>
      <c r="E18" s="12" t="s">
        <v>65</v>
      </c>
      <c r="F18" s="12" t="s">
        <v>37</v>
      </c>
      <c r="G18" s="12" t="s">
        <v>64</v>
      </c>
      <c r="H18" s="34">
        <v>0</v>
      </c>
      <c r="I18" s="12">
        <v>2</v>
      </c>
    </row>
    <row r="19" spans="1:9" x14ac:dyDescent="0.25">
      <c r="A19">
        <v>19</v>
      </c>
      <c r="B19" s="12" t="s">
        <v>58</v>
      </c>
      <c r="C19" s="12" t="s">
        <v>64</v>
      </c>
      <c r="D19" s="12" t="s">
        <v>35</v>
      </c>
      <c r="E19" s="12" t="s">
        <v>34</v>
      </c>
      <c r="F19" s="12" t="s">
        <v>37</v>
      </c>
      <c r="G19" s="12" t="s">
        <v>36</v>
      </c>
      <c r="H19" s="34">
        <v>0</v>
      </c>
      <c r="I19" s="12">
        <v>1</v>
      </c>
    </row>
    <row r="20" spans="1:9" x14ac:dyDescent="0.25">
      <c r="A20">
        <v>20</v>
      </c>
      <c r="B20" s="12" t="s">
        <v>62</v>
      </c>
      <c r="C20" s="12" t="s">
        <v>36</v>
      </c>
      <c r="D20" s="12" t="s">
        <v>64</v>
      </c>
      <c r="E20" s="12" t="s">
        <v>37</v>
      </c>
      <c r="F20" s="12" t="s">
        <v>63</v>
      </c>
      <c r="G20" s="12" t="s">
        <v>65</v>
      </c>
      <c r="H20" s="34">
        <v>0</v>
      </c>
      <c r="I20" s="12">
        <v>3</v>
      </c>
    </row>
    <row r="21" spans="1:9" x14ac:dyDescent="0.25">
      <c r="A21">
        <v>21</v>
      </c>
      <c r="B21" s="12" t="s">
        <v>62</v>
      </c>
      <c r="C21" s="12" t="s">
        <v>36</v>
      </c>
      <c r="D21" s="12" t="s">
        <v>37</v>
      </c>
      <c r="E21" s="12" t="s">
        <v>63</v>
      </c>
      <c r="F21" s="12" t="s">
        <v>64</v>
      </c>
      <c r="G21" s="12" t="s">
        <v>65</v>
      </c>
      <c r="H21" s="34">
        <v>0</v>
      </c>
      <c r="I21" s="12">
        <v>3</v>
      </c>
    </row>
    <row r="22" spans="1:9" x14ac:dyDescent="0.25">
      <c r="A22">
        <v>22</v>
      </c>
      <c r="B22" s="12" t="s">
        <v>57</v>
      </c>
      <c r="C22" s="12" t="s">
        <v>34</v>
      </c>
      <c r="D22" s="12" t="s">
        <v>63</v>
      </c>
      <c r="E22" s="12" t="s">
        <v>37</v>
      </c>
      <c r="F22" s="12" t="s">
        <v>64</v>
      </c>
      <c r="G22" s="12" t="s">
        <v>65</v>
      </c>
      <c r="H22" s="34">
        <v>0</v>
      </c>
      <c r="I22" s="12">
        <v>1</v>
      </c>
    </row>
    <row r="23" spans="1:9" x14ac:dyDescent="0.25">
      <c r="A23">
        <v>23</v>
      </c>
      <c r="B23" s="12" t="s">
        <v>60</v>
      </c>
      <c r="C23" s="12" t="s">
        <v>65</v>
      </c>
      <c r="D23" s="12" t="s">
        <v>36</v>
      </c>
      <c r="E23" s="12" t="s">
        <v>35</v>
      </c>
      <c r="F23" s="12" t="s">
        <v>34</v>
      </c>
      <c r="G23" s="12" t="s">
        <v>37</v>
      </c>
      <c r="H23" s="34">
        <v>0</v>
      </c>
      <c r="I23" s="12">
        <v>1</v>
      </c>
    </row>
    <row r="24" spans="1:9" x14ac:dyDescent="0.25">
      <c r="A24">
        <v>24</v>
      </c>
      <c r="B24" s="12" t="s">
        <v>59</v>
      </c>
      <c r="C24" s="12" t="s">
        <v>35</v>
      </c>
      <c r="D24" s="12" t="s">
        <v>37</v>
      </c>
      <c r="E24" s="12" t="s">
        <v>65</v>
      </c>
      <c r="F24" s="12" t="s">
        <v>63</v>
      </c>
      <c r="G24" s="12" t="s">
        <v>64</v>
      </c>
      <c r="H24" s="34">
        <v>0</v>
      </c>
      <c r="I24" s="12">
        <v>3</v>
      </c>
    </row>
    <row r="25" spans="1:9" x14ac:dyDescent="0.25">
      <c r="A25">
        <v>25</v>
      </c>
      <c r="B25" s="12" t="s">
        <v>58</v>
      </c>
      <c r="C25" s="12" t="s">
        <v>64</v>
      </c>
      <c r="D25" s="12" t="s">
        <v>37</v>
      </c>
      <c r="E25" s="12" t="s">
        <v>36</v>
      </c>
      <c r="F25" s="12" t="s">
        <v>35</v>
      </c>
      <c r="G25" s="12" t="s">
        <v>34</v>
      </c>
      <c r="H25" s="34">
        <v>0</v>
      </c>
      <c r="I25" s="12">
        <v>4</v>
      </c>
    </row>
    <row r="26" spans="1:9" x14ac:dyDescent="0.25">
      <c r="A26">
        <v>26</v>
      </c>
      <c r="B26" s="12" t="s">
        <v>59</v>
      </c>
      <c r="C26" s="12" t="s">
        <v>35</v>
      </c>
      <c r="D26" s="12" t="s">
        <v>37</v>
      </c>
      <c r="E26" s="12" t="s">
        <v>64</v>
      </c>
      <c r="F26" s="12" t="s">
        <v>65</v>
      </c>
      <c r="G26" s="12" t="s">
        <v>63</v>
      </c>
      <c r="H26" s="34">
        <v>0</v>
      </c>
      <c r="I26" s="12">
        <v>2</v>
      </c>
    </row>
    <row r="27" spans="1:9" x14ac:dyDescent="0.25">
      <c r="A27">
        <v>27</v>
      </c>
      <c r="B27" s="12" t="s">
        <v>60</v>
      </c>
      <c r="C27" s="12" t="s">
        <v>65</v>
      </c>
      <c r="D27" s="12" t="s">
        <v>34</v>
      </c>
      <c r="E27" s="12" t="s">
        <v>36</v>
      </c>
      <c r="F27" s="12" t="s">
        <v>35</v>
      </c>
      <c r="G27" s="12" t="s">
        <v>37</v>
      </c>
      <c r="H27" s="34">
        <v>0</v>
      </c>
      <c r="I27" s="12">
        <v>2</v>
      </c>
    </row>
    <row r="28" spans="1:9" x14ac:dyDescent="0.25">
      <c r="A28">
        <v>28</v>
      </c>
      <c r="B28" s="12" t="s">
        <v>58</v>
      </c>
      <c r="C28" s="12" t="s">
        <v>64</v>
      </c>
      <c r="D28" s="12" t="s">
        <v>36</v>
      </c>
      <c r="E28" s="12" t="s">
        <v>35</v>
      </c>
      <c r="F28" s="12" t="s">
        <v>37</v>
      </c>
      <c r="G28" s="12" t="s">
        <v>34</v>
      </c>
      <c r="H28" s="34">
        <v>0</v>
      </c>
      <c r="I28" s="12">
        <v>2</v>
      </c>
    </row>
    <row r="29" spans="1:9" x14ac:dyDescent="0.25">
      <c r="A29">
        <v>29</v>
      </c>
      <c r="B29" s="12" t="s">
        <v>61</v>
      </c>
      <c r="C29" s="12" t="s">
        <v>63</v>
      </c>
      <c r="D29" s="12" t="s">
        <v>36</v>
      </c>
      <c r="E29" s="12" t="s">
        <v>35</v>
      </c>
      <c r="F29" s="12" t="s">
        <v>34</v>
      </c>
      <c r="G29" s="12" t="s">
        <v>37</v>
      </c>
      <c r="H29" s="34">
        <v>0</v>
      </c>
      <c r="I29" s="12">
        <v>4</v>
      </c>
    </row>
    <row r="30" spans="1:9" x14ac:dyDescent="0.25">
      <c r="A30">
        <v>30</v>
      </c>
      <c r="B30" s="12" t="s">
        <v>57</v>
      </c>
      <c r="C30" s="12" t="s">
        <v>34</v>
      </c>
      <c r="D30" s="12" t="s">
        <v>65</v>
      </c>
      <c r="E30" s="12" t="s">
        <v>63</v>
      </c>
      <c r="F30" s="12" t="s">
        <v>37</v>
      </c>
      <c r="G30" s="12" t="s">
        <v>64</v>
      </c>
      <c r="H30" s="34">
        <v>0</v>
      </c>
      <c r="I30" s="12">
        <v>2</v>
      </c>
    </row>
    <row r="31" spans="1:9" x14ac:dyDescent="0.25">
      <c r="A31">
        <v>31</v>
      </c>
      <c r="B31" s="12" t="s">
        <v>62</v>
      </c>
      <c r="C31" s="12" t="s">
        <v>36</v>
      </c>
      <c r="D31" s="12" t="s">
        <v>65</v>
      </c>
      <c r="E31" s="12" t="s">
        <v>37</v>
      </c>
      <c r="F31" s="12" t="s">
        <v>64</v>
      </c>
      <c r="G31" s="12" t="s">
        <v>63</v>
      </c>
      <c r="H31" s="34">
        <v>0</v>
      </c>
      <c r="I31" s="12">
        <v>1</v>
      </c>
    </row>
    <row r="32" spans="1:9" x14ac:dyDescent="0.25">
      <c r="A32">
        <v>32</v>
      </c>
      <c r="B32" s="12" t="s">
        <v>62</v>
      </c>
      <c r="C32" s="12" t="s">
        <v>36</v>
      </c>
      <c r="D32" s="12" t="s">
        <v>37</v>
      </c>
      <c r="E32" s="12" t="s">
        <v>64</v>
      </c>
      <c r="F32" s="12" t="s">
        <v>65</v>
      </c>
      <c r="G32" s="12" t="s">
        <v>63</v>
      </c>
      <c r="H32" s="34">
        <v>0</v>
      </c>
      <c r="I32" s="12">
        <v>4</v>
      </c>
    </row>
    <row r="33" spans="1:9" x14ac:dyDescent="0.25">
      <c r="A33">
        <v>33</v>
      </c>
      <c r="B33" s="12" t="s">
        <v>57</v>
      </c>
      <c r="C33" s="12" t="s">
        <v>34</v>
      </c>
      <c r="D33" s="12" t="s">
        <v>63</v>
      </c>
      <c r="E33" s="12" t="s">
        <v>64</v>
      </c>
      <c r="F33" s="12" t="s">
        <v>65</v>
      </c>
      <c r="G33" s="12" t="s">
        <v>37</v>
      </c>
      <c r="H33" s="34">
        <v>0</v>
      </c>
      <c r="I33" s="12">
        <v>1</v>
      </c>
    </row>
    <row r="34" spans="1:9" x14ac:dyDescent="0.25">
      <c r="A34">
        <v>34</v>
      </c>
      <c r="B34" s="12" t="s">
        <v>61</v>
      </c>
      <c r="C34" s="12" t="s">
        <v>63</v>
      </c>
      <c r="D34" s="12" t="s">
        <v>35</v>
      </c>
      <c r="E34" s="12" t="s">
        <v>34</v>
      </c>
      <c r="F34" s="12" t="s">
        <v>37</v>
      </c>
      <c r="G34" s="12" t="s">
        <v>36</v>
      </c>
      <c r="H34" s="34">
        <v>0</v>
      </c>
      <c r="I34" s="12">
        <v>2</v>
      </c>
    </row>
    <row r="35" spans="1:9" x14ac:dyDescent="0.25">
      <c r="A35">
        <v>35</v>
      </c>
      <c r="B35" s="12" t="s">
        <v>59</v>
      </c>
      <c r="C35" s="12" t="s">
        <v>35</v>
      </c>
      <c r="D35" s="12" t="s">
        <v>65</v>
      </c>
      <c r="E35" s="12" t="s">
        <v>64</v>
      </c>
      <c r="F35" s="12" t="s">
        <v>37</v>
      </c>
      <c r="G35" s="12" t="s">
        <v>63</v>
      </c>
      <c r="H35" s="34">
        <v>0</v>
      </c>
      <c r="I35" s="12">
        <v>2</v>
      </c>
    </row>
    <row r="36" spans="1:9" x14ac:dyDescent="0.25">
      <c r="A36">
        <v>36</v>
      </c>
      <c r="B36" s="12" t="s">
        <v>57</v>
      </c>
      <c r="C36" s="12" t="s">
        <v>34</v>
      </c>
      <c r="D36" s="12" t="s">
        <v>64</v>
      </c>
      <c r="E36" s="12" t="s">
        <v>65</v>
      </c>
      <c r="F36" s="12" t="s">
        <v>63</v>
      </c>
      <c r="G36" s="12" t="s">
        <v>37</v>
      </c>
      <c r="H36" s="34">
        <v>0</v>
      </c>
      <c r="I36" s="12">
        <v>4</v>
      </c>
    </row>
    <row r="37" spans="1:9" x14ac:dyDescent="0.25">
      <c r="B37" s="3"/>
    </row>
    <row r="38" spans="1:9" x14ac:dyDescent="0.25">
      <c r="B38" s="3"/>
    </row>
    <row r="39" spans="1:9" x14ac:dyDescent="0.25">
      <c r="B39" s="3"/>
    </row>
  </sheetData>
  <sortState ref="A1:I36">
    <sortCondition ref="A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2" workbookViewId="0">
      <selection activeCell="C31" sqref="C31"/>
    </sheetView>
  </sheetViews>
  <sheetFormatPr defaultRowHeight="15" x14ac:dyDescent="0.25"/>
  <cols>
    <col min="1" max="1" width="32.7109375" style="6" customWidth="1"/>
    <col min="2" max="5" width="34.7109375" style="4" customWidth="1"/>
  </cols>
  <sheetData>
    <row r="1" spans="1:4" x14ac:dyDescent="0.25">
      <c r="A1" s="8"/>
      <c r="B1" s="8"/>
      <c r="C1" s="8"/>
      <c r="D1" s="8"/>
    </row>
    <row r="2" spans="1:4" x14ac:dyDescent="0.25">
      <c r="A2" s="8"/>
      <c r="B2" s="8"/>
      <c r="C2" s="8"/>
      <c r="D2" s="8"/>
    </row>
    <row r="3" spans="1:4" x14ac:dyDescent="0.25">
      <c r="A3" s="8"/>
      <c r="B3" s="8"/>
      <c r="C3" s="8"/>
      <c r="D3" s="8"/>
    </row>
    <row r="4" spans="1:4" x14ac:dyDescent="0.25">
      <c r="A4" s="8"/>
      <c r="B4" s="8"/>
      <c r="C4" s="8"/>
      <c r="D4" s="8"/>
    </row>
    <row r="5" spans="1:4" x14ac:dyDescent="0.25">
      <c r="A5" s="8"/>
      <c r="B5" s="8"/>
      <c r="C5" s="8"/>
      <c r="D5" s="8"/>
    </row>
    <row r="6" spans="1:4" x14ac:dyDescent="0.25">
      <c r="A6" s="8"/>
      <c r="B6" s="8"/>
      <c r="C6" s="8"/>
      <c r="D6" s="8"/>
    </row>
    <row r="7" spans="1:4" x14ac:dyDescent="0.25">
      <c r="A7" s="8"/>
      <c r="B7" s="8"/>
      <c r="C7" s="8"/>
      <c r="D7" s="8"/>
    </row>
    <row r="8" spans="1:4" x14ac:dyDescent="0.25">
      <c r="A8" s="8"/>
      <c r="B8" s="8"/>
      <c r="C8" s="8"/>
      <c r="D8" s="8"/>
    </row>
    <row r="9" spans="1:4" x14ac:dyDescent="0.25">
      <c r="A9" s="8"/>
      <c r="B9" s="8"/>
      <c r="C9" s="8"/>
      <c r="D9" s="8"/>
    </row>
    <row r="10" spans="1:4" x14ac:dyDescent="0.25">
      <c r="A10" s="8"/>
      <c r="B10" s="8"/>
      <c r="C10" s="8"/>
      <c r="D10" s="8"/>
    </row>
    <row r="11" spans="1:4" x14ac:dyDescent="0.25">
      <c r="A11" s="8"/>
      <c r="B11" s="8"/>
      <c r="C11" s="8"/>
      <c r="D11" s="8"/>
    </row>
    <row r="12" spans="1:4" x14ac:dyDescent="0.25">
      <c r="A12" s="8"/>
      <c r="B12" s="8"/>
      <c r="C12" s="8"/>
      <c r="D12" s="8"/>
    </row>
    <row r="13" spans="1:4" x14ac:dyDescent="0.25">
      <c r="A13" s="8"/>
      <c r="B13" s="8"/>
      <c r="C13" s="8"/>
      <c r="D13" s="8"/>
    </row>
    <row r="14" spans="1:4" x14ac:dyDescent="0.25">
      <c r="A14" s="8"/>
      <c r="B14" s="8"/>
      <c r="C14" s="8"/>
      <c r="D14" s="8"/>
    </row>
    <row r="15" spans="1:4" x14ac:dyDescent="0.25">
      <c r="A15" s="8"/>
      <c r="B15" s="8"/>
      <c r="C15" s="8"/>
      <c r="D15" s="8"/>
    </row>
    <row r="16" spans="1:4" x14ac:dyDescent="0.25">
      <c r="A16" s="8"/>
      <c r="B16" s="8"/>
      <c r="C16" s="8"/>
      <c r="D16" s="8"/>
    </row>
    <row r="17" spans="1:4" x14ac:dyDescent="0.25">
      <c r="A17" s="8"/>
      <c r="B17" s="8"/>
      <c r="C17" s="8"/>
      <c r="D17" s="8"/>
    </row>
    <row r="18" spans="1:4" x14ac:dyDescent="0.25">
      <c r="A18" s="8"/>
      <c r="B18" s="8"/>
      <c r="C18" s="8"/>
      <c r="D18" s="8"/>
    </row>
    <row r="19" spans="1:4" x14ac:dyDescent="0.25">
      <c r="A19" s="8"/>
      <c r="B19" s="8"/>
      <c r="C19" s="8"/>
      <c r="D19" s="8"/>
    </row>
    <row r="20" spans="1:4" x14ac:dyDescent="0.25">
      <c r="A20" s="8"/>
      <c r="B20" s="8"/>
      <c r="C20" s="8"/>
      <c r="D20" s="8"/>
    </row>
    <row r="21" spans="1:4" x14ac:dyDescent="0.25">
      <c r="A21" s="8"/>
      <c r="B21" s="8"/>
      <c r="C21" s="8"/>
      <c r="D21" s="8"/>
    </row>
    <row r="22" spans="1:4" x14ac:dyDescent="0.25">
      <c r="A22" s="8"/>
      <c r="B22" s="8"/>
      <c r="C22" s="8"/>
      <c r="D22" s="8"/>
    </row>
    <row r="23" spans="1:4" x14ac:dyDescent="0.25">
      <c r="A23" s="8"/>
      <c r="B23" s="8"/>
      <c r="C23" s="8"/>
      <c r="D23" s="8"/>
    </row>
    <row r="24" spans="1:4" x14ac:dyDescent="0.25">
      <c r="A24" s="8"/>
      <c r="B24" s="8"/>
      <c r="C24" s="8"/>
      <c r="D24" s="8"/>
    </row>
    <row r="25" spans="1:4" x14ac:dyDescent="0.25">
      <c r="A25" s="8"/>
      <c r="B25" s="8"/>
      <c r="C25" s="8"/>
      <c r="D25" s="8"/>
    </row>
    <row r="26" spans="1:4" x14ac:dyDescent="0.25">
      <c r="A26" s="8"/>
      <c r="B26" s="8"/>
      <c r="C26" s="8"/>
      <c r="D26" s="8"/>
    </row>
    <row r="27" spans="1:4" x14ac:dyDescent="0.25">
      <c r="A27" s="8"/>
      <c r="B27" s="8"/>
      <c r="C27" s="8"/>
      <c r="D27" s="8"/>
    </row>
    <row r="28" spans="1:4" x14ac:dyDescent="0.25">
      <c r="A28" s="8"/>
      <c r="B28" s="8"/>
      <c r="C28" s="8"/>
      <c r="D28" s="8"/>
    </row>
    <row r="29" spans="1:4" x14ac:dyDescent="0.25">
      <c r="A29" s="8"/>
      <c r="B29" s="8"/>
      <c r="C29" s="8"/>
      <c r="D29" s="8"/>
    </row>
    <row r="30" spans="1:4" x14ac:dyDescent="0.25">
      <c r="A30" s="8"/>
      <c r="B30" s="8"/>
      <c r="C30" s="8"/>
      <c r="D30" s="8"/>
    </row>
    <row r="31" spans="1:4" x14ac:dyDescent="0.25">
      <c r="A31" s="8"/>
      <c r="B31" s="8"/>
      <c r="C31" s="8"/>
      <c r="D31" s="8"/>
    </row>
    <row r="32" spans="1:4" x14ac:dyDescent="0.25">
      <c r="A32" s="8"/>
      <c r="B32" s="8"/>
      <c r="C32" s="8"/>
      <c r="D32" s="8"/>
    </row>
    <row r="33" spans="1:5" x14ac:dyDescent="0.25">
      <c r="A33" s="8"/>
      <c r="B33" s="8"/>
      <c r="C33" s="8"/>
      <c r="D33" s="8"/>
    </row>
    <row r="34" spans="1:5" x14ac:dyDescent="0.25">
      <c r="A34" s="8"/>
      <c r="B34" s="8"/>
      <c r="C34" s="8"/>
      <c r="D34" s="8"/>
    </row>
    <row r="35" spans="1:5" x14ac:dyDescent="0.25">
      <c r="A35" s="8"/>
      <c r="B35" s="8"/>
      <c r="C35" s="8"/>
      <c r="D35" s="8"/>
    </row>
    <row r="36" spans="1:5" x14ac:dyDescent="0.25">
      <c r="A36" s="8"/>
      <c r="B36" s="8"/>
      <c r="C36" s="8"/>
      <c r="D36" s="8"/>
    </row>
    <row r="37" spans="1:5" x14ac:dyDescent="0.25">
      <c r="A37" s="8"/>
      <c r="B37" s="8"/>
      <c r="C37" s="8"/>
      <c r="D37" s="8"/>
      <c r="E37" s="8"/>
    </row>
    <row r="38" spans="1:5" x14ac:dyDescent="0.25">
      <c r="A38" s="8"/>
      <c r="B38" s="8"/>
      <c r="C38" s="8"/>
      <c r="D38" s="8"/>
      <c r="E38" s="8"/>
    </row>
    <row r="39" spans="1:5" x14ac:dyDescent="0.25">
      <c r="A39" s="8"/>
      <c r="B39" s="8"/>
      <c r="C39" s="8"/>
      <c r="D39" s="8"/>
      <c r="E39" s="8"/>
    </row>
    <row r="40" spans="1:5" x14ac:dyDescent="0.25">
      <c r="A40" s="8"/>
      <c r="B40" s="8"/>
      <c r="C40" s="8"/>
      <c r="D40" s="8"/>
      <c r="E40" s="8"/>
    </row>
    <row r="41" spans="1:5" x14ac:dyDescent="0.25">
      <c r="A41" s="8"/>
      <c r="B41" s="8"/>
      <c r="C41" s="8"/>
      <c r="D41" s="8"/>
      <c r="E41" s="8"/>
    </row>
    <row r="42" spans="1:5" x14ac:dyDescent="0.25">
      <c r="A42" s="8"/>
      <c r="B42" s="8"/>
      <c r="C42" s="8"/>
      <c r="D42" s="8"/>
      <c r="E42" s="8"/>
    </row>
    <row r="43" spans="1:5" x14ac:dyDescent="0.25">
      <c r="A43" s="8"/>
      <c r="B43" s="8"/>
      <c r="C43" s="8"/>
      <c r="D43" s="8"/>
      <c r="E43" s="8"/>
    </row>
    <row r="44" spans="1:5" x14ac:dyDescent="0.25">
      <c r="A44" s="8"/>
      <c r="B44" s="8"/>
      <c r="C44" s="8"/>
      <c r="D44" s="8"/>
      <c r="E44" s="8"/>
    </row>
    <row r="45" spans="1:5" x14ac:dyDescent="0.25">
      <c r="A45" s="8"/>
      <c r="B45" s="8"/>
      <c r="C45" s="8"/>
      <c r="D45" s="8"/>
      <c r="E45" s="8"/>
    </row>
    <row r="46" spans="1:5" x14ac:dyDescent="0.25">
      <c r="A46" s="8"/>
      <c r="B46" s="8"/>
      <c r="C46" s="8"/>
      <c r="D46" s="8"/>
      <c r="E46" s="8"/>
    </row>
    <row r="47" spans="1:5" x14ac:dyDescent="0.25">
      <c r="A47" s="8"/>
      <c r="B47" s="8"/>
      <c r="C47" s="8"/>
      <c r="D47" s="8"/>
      <c r="E47" s="8"/>
    </row>
    <row r="48" spans="1:5" x14ac:dyDescent="0.25">
      <c r="A48" s="8"/>
      <c r="B48" s="8"/>
      <c r="C48" s="8"/>
      <c r="D48" s="8"/>
      <c r="E48" s="8"/>
    </row>
    <row r="49" spans="1:5" x14ac:dyDescent="0.25">
      <c r="A49" s="8"/>
      <c r="B49" s="8"/>
      <c r="C49" s="8"/>
      <c r="D49" s="8"/>
      <c r="E49" s="8"/>
    </row>
    <row r="50" spans="1:5" x14ac:dyDescent="0.25">
      <c r="A50" s="8"/>
      <c r="B50" s="8"/>
      <c r="C50" s="8"/>
      <c r="D50" s="8"/>
      <c r="E50" s="8"/>
    </row>
    <row r="51" spans="1:5" x14ac:dyDescent="0.25">
      <c r="A51" s="8"/>
      <c r="B51" s="8"/>
      <c r="C51" s="8"/>
      <c r="D51" s="8"/>
      <c r="E51" s="8"/>
    </row>
    <row r="52" spans="1:5" x14ac:dyDescent="0.25">
      <c r="A52" s="8"/>
      <c r="B52" s="8"/>
      <c r="C52" s="8"/>
      <c r="D52" s="8"/>
      <c r="E52" s="8"/>
    </row>
    <row r="53" spans="1:5" x14ac:dyDescent="0.25">
      <c r="A53" s="8"/>
      <c r="B53" s="8"/>
      <c r="C53" s="8"/>
      <c r="D53" s="8"/>
      <c r="E53" s="8"/>
    </row>
    <row r="54" spans="1:5" x14ac:dyDescent="0.25">
      <c r="A54" s="8"/>
      <c r="B54" s="8"/>
      <c r="C54" s="8"/>
      <c r="D54" s="8"/>
      <c r="E54" s="8"/>
    </row>
    <row r="55" spans="1:5" x14ac:dyDescent="0.25">
      <c r="A55" s="1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topLeftCell="A16" zoomScale="98" zoomScaleNormal="98" workbookViewId="0">
      <selection activeCell="AG32" sqref="AG32"/>
    </sheetView>
  </sheetViews>
  <sheetFormatPr defaultRowHeight="15" x14ac:dyDescent="0.25"/>
  <cols>
    <col min="1" max="1" width="3.42578125" style="9" customWidth="1"/>
    <col min="2" max="2" width="3.42578125" customWidth="1"/>
    <col min="3" max="6" width="3.42578125" style="9" customWidth="1"/>
    <col min="7" max="7" width="3.7109375" style="9" customWidth="1"/>
    <col min="8" max="8" width="3.140625" style="9" customWidth="1"/>
    <col min="9" max="14" width="3.42578125" style="9" customWidth="1"/>
    <col min="15" max="15" width="4.42578125" style="9" customWidth="1"/>
    <col min="16" max="19" width="3.42578125" style="9" customWidth="1"/>
    <col min="20" max="20" width="3.42578125" customWidth="1"/>
    <col min="21" max="21" width="3.7109375" customWidth="1"/>
    <col min="22" max="27" width="3.140625" customWidth="1"/>
    <col min="28" max="32" width="3.140625" style="9" customWidth="1"/>
    <col min="33" max="39" width="3.140625" customWidth="1"/>
  </cols>
  <sheetData>
    <row r="1" spans="1:32" x14ac:dyDescent="0.25">
      <c r="A1" s="13" t="s">
        <v>12</v>
      </c>
      <c r="B1" s="14"/>
      <c r="C1" s="15"/>
      <c r="D1" s="1"/>
      <c r="E1" s="1"/>
      <c r="F1" s="1"/>
      <c r="G1" s="1"/>
      <c r="H1" s="1"/>
      <c r="O1" s="13" t="s">
        <v>13</v>
      </c>
      <c r="P1"/>
      <c r="Q1" s="2"/>
      <c r="T1" s="9"/>
      <c r="U1" s="9"/>
      <c r="V1" s="9"/>
    </row>
    <row r="2" spans="1:32" ht="12" customHeight="1" x14ac:dyDescent="0.25">
      <c r="A2" s="1"/>
      <c r="B2" s="45"/>
      <c r="C2" s="45"/>
      <c r="D2" s="45"/>
      <c r="E2" s="45"/>
      <c r="F2" s="45"/>
      <c r="G2" s="1"/>
      <c r="H2" s="1"/>
      <c r="P2" s="46"/>
      <c r="Q2" s="46"/>
      <c r="R2" s="46"/>
      <c r="S2" s="46"/>
      <c r="T2" s="46"/>
      <c r="U2" s="9"/>
      <c r="V2" s="9"/>
    </row>
    <row r="3" spans="1:32" ht="12" customHeight="1" x14ac:dyDescent="0.25">
      <c r="B3" s="10" t="s">
        <v>16</v>
      </c>
      <c r="C3" s="47" t="s">
        <v>0</v>
      </c>
      <c r="D3" s="47"/>
      <c r="E3" s="47"/>
      <c r="F3" s="47"/>
      <c r="P3" s="10" t="s">
        <v>16</v>
      </c>
      <c r="Q3" s="47" t="s">
        <v>0</v>
      </c>
      <c r="R3" s="47"/>
      <c r="S3" s="47"/>
      <c r="T3" s="47"/>
      <c r="U3" s="9"/>
      <c r="V3" s="9"/>
    </row>
    <row r="4" spans="1:32" ht="12" customHeight="1" x14ac:dyDescent="0.25">
      <c r="A4" s="9" t="s">
        <v>15</v>
      </c>
      <c r="B4" s="10"/>
      <c r="C4" s="7" t="s">
        <v>8</v>
      </c>
      <c r="D4" s="7" t="s">
        <v>8</v>
      </c>
      <c r="E4" s="7" t="s">
        <v>9</v>
      </c>
      <c r="F4" s="7" t="s">
        <v>10</v>
      </c>
      <c r="G4" s="9" t="s">
        <v>11</v>
      </c>
      <c r="H4" s="9" t="s">
        <v>14</v>
      </c>
      <c r="O4" s="9" t="s">
        <v>15</v>
      </c>
      <c r="P4" s="10"/>
      <c r="Q4" s="7" t="s">
        <v>8</v>
      </c>
      <c r="R4" s="7" t="s">
        <v>8</v>
      </c>
      <c r="S4" s="7" t="s">
        <v>9</v>
      </c>
      <c r="T4" s="7" t="s">
        <v>10</v>
      </c>
      <c r="U4" s="9" t="s">
        <v>11</v>
      </c>
      <c r="V4" s="9" t="s">
        <v>14</v>
      </c>
      <c r="AF4" s="33" t="s">
        <v>36</v>
      </c>
    </row>
    <row r="5" spans="1:32" ht="12" customHeight="1" x14ac:dyDescent="0.25">
      <c r="A5" s="1">
        <v>1</v>
      </c>
      <c r="B5" s="11" t="s">
        <v>17</v>
      </c>
      <c r="C5" s="8" t="s">
        <v>6</v>
      </c>
      <c r="D5" s="8" t="s">
        <v>5</v>
      </c>
      <c r="E5" s="8" t="s">
        <v>7</v>
      </c>
      <c r="F5" s="21" t="s">
        <v>1</v>
      </c>
      <c r="G5" s="12">
        <v>4</v>
      </c>
      <c r="H5" s="1">
        <v>0</v>
      </c>
      <c r="O5" s="1">
        <v>1</v>
      </c>
      <c r="P5" s="11" t="s">
        <v>4</v>
      </c>
      <c r="Q5" s="21" t="s">
        <v>6</v>
      </c>
      <c r="R5" s="8" t="s">
        <v>1</v>
      </c>
      <c r="S5" s="8" t="s">
        <v>5</v>
      </c>
      <c r="T5" s="8" t="s">
        <v>7</v>
      </c>
      <c r="U5" s="12">
        <v>1</v>
      </c>
      <c r="V5" s="1">
        <v>1</v>
      </c>
    </row>
    <row r="6" spans="1:32" ht="12" customHeight="1" x14ac:dyDescent="0.25">
      <c r="A6" s="1">
        <v>2</v>
      </c>
      <c r="B6" s="11" t="s">
        <v>1</v>
      </c>
      <c r="C6" s="21" t="s">
        <v>17</v>
      </c>
      <c r="D6" s="8" t="s">
        <v>7</v>
      </c>
      <c r="E6" s="8" t="s">
        <v>19</v>
      </c>
      <c r="F6" s="8" t="s">
        <v>18</v>
      </c>
      <c r="G6" s="12">
        <v>1</v>
      </c>
      <c r="H6" s="1">
        <v>0</v>
      </c>
      <c r="O6" s="1">
        <f>O5+1</f>
        <v>2</v>
      </c>
      <c r="P6" s="11" t="s">
        <v>2</v>
      </c>
      <c r="Q6" s="8" t="s">
        <v>4</v>
      </c>
      <c r="R6" s="21" t="s">
        <v>2</v>
      </c>
      <c r="S6" s="8" t="s">
        <v>7</v>
      </c>
      <c r="T6" s="8" t="s">
        <v>3</v>
      </c>
      <c r="U6" s="12">
        <v>2</v>
      </c>
      <c r="V6" s="27">
        <v>1</v>
      </c>
    </row>
    <row r="7" spans="1:32" ht="12" customHeight="1" x14ac:dyDescent="0.25">
      <c r="A7" s="1">
        <v>3</v>
      </c>
      <c r="B7" s="11" t="s">
        <v>18</v>
      </c>
      <c r="C7" s="21" t="s">
        <v>5</v>
      </c>
      <c r="D7" s="8" t="s">
        <v>1</v>
      </c>
      <c r="E7" s="8" t="s">
        <v>6</v>
      </c>
      <c r="F7" s="8" t="s">
        <v>7</v>
      </c>
      <c r="G7" s="12">
        <v>1</v>
      </c>
      <c r="H7" s="1">
        <v>0</v>
      </c>
      <c r="O7" s="1">
        <f t="shared" ref="O7:O58" si="0">O6+1</f>
        <v>3</v>
      </c>
      <c r="P7" s="11" t="s">
        <v>6</v>
      </c>
      <c r="Q7" s="8" t="s">
        <v>3</v>
      </c>
      <c r="R7" s="21" t="s">
        <v>4</v>
      </c>
      <c r="S7" s="8" t="s">
        <v>2</v>
      </c>
      <c r="T7" s="8" t="s">
        <v>7</v>
      </c>
      <c r="U7" s="12">
        <v>2</v>
      </c>
      <c r="V7" s="27">
        <v>1</v>
      </c>
    </row>
    <row r="8" spans="1:32" ht="12" customHeight="1" x14ac:dyDescent="0.25">
      <c r="A8" s="16">
        <v>4</v>
      </c>
      <c r="B8" s="11" t="s">
        <v>19</v>
      </c>
      <c r="C8" s="21" t="s">
        <v>6</v>
      </c>
      <c r="D8" s="8" t="s">
        <v>7</v>
      </c>
      <c r="E8" s="8" t="s">
        <v>1</v>
      </c>
      <c r="F8" s="8" t="s">
        <v>5</v>
      </c>
      <c r="G8" s="12">
        <v>1</v>
      </c>
      <c r="H8" s="1">
        <v>0</v>
      </c>
      <c r="O8" s="1">
        <f t="shared" si="0"/>
        <v>4</v>
      </c>
      <c r="P8" s="11" t="s">
        <v>2</v>
      </c>
      <c r="Q8" s="8" t="s">
        <v>7</v>
      </c>
      <c r="R8" s="8" t="s">
        <v>5</v>
      </c>
      <c r="S8" s="8" t="s">
        <v>6</v>
      </c>
      <c r="T8" s="21" t="s">
        <v>1</v>
      </c>
      <c r="U8" s="12">
        <v>4</v>
      </c>
      <c r="V8" s="27">
        <v>1</v>
      </c>
    </row>
    <row r="9" spans="1:32" ht="12" customHeight="1" x14ac:dyDescent="0.25">
      <c r="A9" s="16">
        <v>5</v>
      </c>
      <c r="B9" s="11" t="s">
        <v>19</v>
      </c>
      <c r="C9" s="8" t="s">
        <v>7</v>
      </c>
      <c r="D9" s="8" t="s">
        <v>1</v>
      </c>
      <c r="E9" s="8" t="s">
        <v>5</v>
      </c>
      <c r="F9" s="21" t="s">
        <v>6</v>
      </c>
      <c r="G9" s="12">
        <v>4</v>
      </c>
      <c r="H9" s="1">
        <v>0</v>
      </c>
      <c r="O9" s="1">
        <f t="shared" si="0"/>
        <v>5</v>
      </c>
      <c r="P9" s="11" t="s">
        <v>5</v>
      </c>
      <c r="Q9" s="8" t="s">
        <v>4</v>
      </c>
      <c r="R9" s="8" t="s">
        <v>7</v>
      </c>
      <c r="S9" s="8" t="s">
        <v>2</v>
      </c>
      <c r="T9" s="21" t="s">
        <v>3</v>
      </c>
      <c r="U9" s="12">
        <v>4</v>
      </c>
      <c r="V9" s="27">
        <v>1</v>
      </c>
    </row>
    <row r="10" spans="1:32" ht="12" customHeight="1" x14ac:dyDescent="0.25">
      <c r="A10" s="16">
        <v>6</v>
      </c>
      <c r="B10" s="11" t="s">
        <v>1</v>
      </c>
      <c r="C10" s="8" t="s">
        <v>19</v>
      </c>
      <c r="D10" s="8" t="s">
        <v>18</v>
      </c>
      <c r="E10" s="8" t="s">
        <v>7</v>
      </c>
      <c r="F10" s="21" t="s">
        <v>17</v>
      </c>
      <c r="G10" s="12">
        <v>4</v>
      </c>
      <c r="H10" s="1">
        <v>0</v>
      </c>
      <c r="O10" s="1">
        <f t="shared" si="0"/>
        <v>6</v>
      </c>
      <c r="P10" s="11" t="s">
        <v>6</v>
      </c>
      <c r="Q10" s="21" t="s">
        <v>6</v>
      </c>
      <c r="R10" s="8" t="s">
        <v>1</v>
      </c>
      <c r="S10" s="8" t="s">
        <v>5</v>
      </c>
      <c r="T10" s="8" t="s">
        <v>7</v>
      </c>
      <c r="U10" s="12">
        <v>1</v>
      </c>
      <c r="V10" s="27">
        <v>1</v>
      </c>
    </row>
    <row r="11" spans="1:32" ht="12" customHeight="1" x14ac:dyDescent="0.25">
      <c r="A11" s="16">
        <v>7</v>
      </c>
      <c r="B11" s="11" t="s">
        <v>5</v>
      </c>
      <c r="C11" s="8" t="s">
        <v>19</v>
      </c>
      <c r="D11" s="21" t="s">
        <v>18</v>
      </c>
      <c r="E11" s="8" t="s">
        <v>17</v>
      </c>
      <c r="F11" s="8" t="s">
        <v>7</v>
      </c>
      <c r="G11" s="12">
        <v>2</v>
      </c>
      <c r="H11" s="1">
        <v>0</v>
      </c>
      <c r="O11" s="1">
        <f t="shared" si="0"/>
        <v>7</v>
      </c>
      <c r="P11" s="11" t="s">
        <v>5</v>
      </c>
      <c r="Q11" s="21" t="s">
        <v>3</v>
      </c>
      <c r="R11" s="8" t="s">
        <v>4</v>
      </c>
      <c r="S11" s="8" t="s">
        <v>7</v>
      </c>
      <c r="T11" s="8" t="s">
        <v>2</v>
      </c>
      <c r="U11" s="12">
        <v>1</v>
      </c>
      <c r="V11" s="27">
        <v>1</v>
      </c>
    </row>
    <row r="12" spans="1:32" ht="12" customHeight="1" x14ac:dyDescent="0.25">
      <c r="A12" s="16">
        <v>8</v>
      </c>
      <c r="B12" s="11" t="s">
        <v>6</v>
      </c>
      <c r="C12" s="8" t="s">
        <v>17</v>
      </c>
      <c r="D12" s="21" t="s">
        <v>19</v>
      </c>
      <c r="E12" s="8" t="s">
        <v>18</v>
      </c>
      <c r="F12" s="8" t="s">
        <v>7</v>
      </c>
      <c r="G12" s="12">
        <v>2</v>
      </c>
      <c r="H12" s="1">
        <v>0</v>
      </c>
      <c r="O12" s="1">
        <f t="shared" si="0"/>
        <v>8</v>
      </c>
      <c r="P12" s="11" t="s">
        <v>2</v>
      </c>
      <c r="Q12" s="8" t="s">
        <v>5</v>
      </c>
      <c r="R12" s="8" t="s">
        <v>7</v>
      </c>
      <c r="S12" s="21" t="s">
        <v>1</v>
      </c>
      <c r="T12" s="8" t="s">
        <v>6</v>
      </c>
      <c r="U12" s="12">
        <v>3</v>
      </c>
      <c r="V12" s="27">
        <v>1</v>
      </c>
    </row>
    <row r="13" spans="1:32" ht="12" customHeight="1" x14ac:dyDescent="0.25">
      <c r="A13" s="16">
        <v>9</v>
      </c>
      <c r="B13" s="11" t="s">
        <v>1</v>
      </c>
      <c r="C13" s="21" t="s">
        <v>17</v>
      </c>
      <c r="D13" s="8" t="s">
        <v>18</v>
      </c>
      <c r="E13" s="8" t="s">
        <v>7</v>
      </c>
      <c r="F13" s="8" t="s">
        <v>19</v>
      </c>
      <c r="G13" s="12">
        <v>1</v>
      </c>
      <c r="H13" s="1">
        <v>0</v>
      </c>
      <c r="O13" s="1">
        <f t="shared" si="0"/>
        <v>9</v>
      </c>
      <c r="P13" s="11" t="s">
        <v>6</v>
      </c>
      <c r="Q13" s="8" t="s">
        <v>1</v>
      </c>
      <c r="R13" s="8" t="s">
        <v>7</v>
      </c>
      <c r="S13" s="21" t="s">
        <v>6</v>
      </c>
      <c r="T13" s="8" t="s">
        <v>5</v>
      </c>
      <c r="U13" s="12">
        <v>3</v>
      </c>
      <c r="V13" s="27">
        <v>1</v>
      </c>
    </row>
    <row r="14" spans="1:32" ht="12" customHeight="1" x14ac:dyDescent="0.25">
      <c r="A14" s="16">
        <v>10</v>
      </c>
      <c r="B14" s="11" t="s">
        <v>18</v>
      </c>
      <c r="C14" s="21" t="s">
        <v>5</v>
      </c>
      <c r="D14" s="8" t="s">
        <v>1</v>
      </c>
      <c r="E14" s="8" t="s">
        <v>7</v>
      </c>
      <c r="F14" s="8" t="s">
        <v>6</v>
      </c>
      <c r="G14" s="12">
        <v>1</v>
      </c>
      <c r="H14" s="1">
        <v>0</v>
      </c>
      <c r="O14" s="1">
        <f t="shared" si="0"/>
        <v>10</v>
      </c>
      <c r="P14" s="11" t="s">
        <v>4</v>
      </c>
      <c r="Q14" s="8" t="s">
        <v>5</v>
      </c>
      <c r="R14" s="8" t="s">
        <v>1</v>
      </c>
      <c r="S14" s="8" t="s">
        <v>7</v>
      </c>
      <c r="T14" s="21" t="s">
        <v>6</v>
      </c>
      <c r="U14" s="12">
        <v>4</v>
      </c>
      <c r="V14" s="27">
        <v>1</v>
      </c>
    </row>
    <row r="15" spans="1:32" ht="12" customHeight="1" x14ac:dyDescent="0.25">
      <c r="A15" s="16">
        <v>11</v>
      </c>
      <c r="B15" s="11" t="s">
        <v>18</v>
      </c>
      <c r="C15" s="8" t="s">
        <v>1</v>
      </c>
      <c r="D15" s="8" t="s">
        <v>7</v>
      </c>
      <c r="E15" s="21" t="s">
        <v>5</v>
      </c>
      <c r="F15" s="8" t="s">
        <v>6</v>
      </c>
      <c r="G15" s="12">
        <v>3</v>
      </c>
      <c r="H15" s="1">
        <v>0</v>
      </c>
      <c r="O15" s="1">
        <f t="shared" si="0"/>
        <v>11</v>
      </c>
      <c r="P15" s="11" t="s">
        <v>1</v>
      </c>
      <c r="Q15" s="8" t="s">
        <v>7</v>
      </c>
      <c r="R15" s="8" t="s">
        <v>4</v>
      </c>
      <c r="S15" s="8" t="s">
        <v>3</v>
      </c>
      <c r="T15" s="21" t="s">
        <v>2</v>
      </c>
      <c r="U15" s="12">
        <v>4</v>
      </c>
      <c r="V15" s="27">
        <v>1</v>
      </c>
    </row>
    <row r="16" spans="1:32" ht="12" customHeight="1" x14ac:dyDescent="0.25">
      <c r="A16" s="16">
        <v>12</v>
      </c>
      <c r="B16" s="11" t="s">
        <v>5</v>
      </c>
      <c r="C16" s="8" t="s">
        <v>7</v>
      </c>
      <c r="D16" s="21" t="s">
        <v>18</v>
      </c>
      <c r="E16" s="8" t="s">
        <v>17</v>
      </c>
      <c r="F16" s="8" t="s">
        <v>19</v>
      </c>
      <c r="G16" s="12">
        <v>2</v>
      </c>
      <c r="H16" s="1">
        <v>0</v>
      </c>
      <c r="O16" s="1">
        <f t="shared" si="0"/>
        <v>12</v>
      </c>
      <c r="P16" s="11" t="s">
        <v>5</v>
      </c>
      <c r="Q16" s="8" t="s">
        <v>7</v>
      </c>
      <c r="R16" s="21" t="s">
        <v>3</v>
      </c>
      <c r="S16" s="8" t="s">
        <v>4</v>
      </c>
      <c r="T16" s="8" t="s">
        <v>2</v>
      </c>
      <c r="U16" s="12">
        <v>2</v>
      </c>
      <c r="V16" s="27">
        <v>1</v>
      </c>
    </row>
    <row r="17" spans="1:22" ht="12" customHeight="1" x14ac:dyDescent="0.25">
      <c r="A17" s="1">
        <v>13</v>
      </c>
      <c r="B17" s="11" t="s">
        <v>19</v>
      </c>
      <c r="C17" s="8" t="s">
        <v>1</v>
      </c>
      <c r="D17" s="21" t="s">
        <v>6</v>
      </c>
      <c r="E17" s="8" t="s">
        <v>5</v>
      </c>
      <c r="F17" s="8" t="s">
        <v>7</v>
      </c>
      <c r="G17" s="12">
        <v>2</v>
      </c>
      <c r="H17" s="1">
        <v>0</v>
      </c>
      <c r="O17" s="1">
        <f t="shared" si="0"/>
        <v>13</v>
      </c>
      <c r="P17" s="11" t="s">
        <v>1</v>
      </c>
      <c r="Q17" s="21" t="s">
        <v>2</v>
      </c>
      <c r="R17" s="8" t="s">
        <v>3</v>
      </c>
      <c r="S17" s="8" t="s">
        <v>4</v>
      </c>
      <c r="T17" s="8" t="s">
        <v>7</v>
      </c>
      <c r="U17" s="12">
        <v>1</v>
      </c>
      <c r="V17" s="27">
        <v>1</v>
      </c>
    </row>
    <row r="18" spans="1:22" ht="12" customHeight="1" x14ac:dyDescent="0.25">
      <c r="A18" s="1">
        <v>14</v>
      </c>
      <c r="B18" s="11" t="s">
        <v>17</v>
      </c>
      <c r="C18" s="8" t="s">
        <v>7</v>
      </c>
      <c r="D18" s="8" t="s">
        <v>5</v>
      </c>
      <c r="E18" s="8" t="s">
        <v>6</v>
      </c>
      <c r="F18" s="21" t="s">
        <v>1</v>
      </c>
      <c r="G18" s="12">
        <v>4</v>
      </c>
      <c r="H18" s="1">
        <v>0</v>
      </c>
      <c r="O18" s="1">
        <f t="shared" si="0"/>
        <v>14</v>
      </c>
      <c r="P18" s="11" t="s">
        <v>5</v>
      </c>
      <c r="Q18" s="21" t="s">
        <v>3</v>
      </c>
      <c r="R18" s="8" t="s">
        <v>4</v>
      </c>
      <c r="S18" s="8" t="s">
        <v>2</v>
      </c>
      <c r="T18" s="8" t="s">
        <v>7</v>
      </c>
      <c r="U18" s="12">
        <v>1</v>
      </c>
      <c r="V18" s="27">
        <v>1</v>
      </c>
    </row>
    <row r="19" spans="1:22" ht="12" customHeight="1" x14ac:dyDescent="0.25">
      <c r="A19" s="1">
        <v>15</v>
      </c>
      <c r="B19" s="11" t="s">
        <v>5</v>
      </c>
      <c r="C19" s="21" t="s">
        <v>18</v>
      </c>
      <c r="D19" s="8" t="s">
        <v>7</v>
      </c>
      <c r="E19" s="8" t="s">
        <v>19</v>
      </c>
      <c r="F19" s="8" t="s">
        <v>17</v>
      </c>
      <c r="G19" s="12">
        <v>1</v>
      </c>
      <c r="H19" s="1">
        <v>0</v>
      </c>
      <c r="O19" s="1">
        <f t="shared" si="0"/>
        <v>15</v>
      </c>
      <c r="P19" s="11" t="s">
        <v>3</v>
      </c>
      <c r="Q19" s="21" t="s">
        <v>3</v>
      </c>
      <c r="R19" s="8" t="s">
        <v>2</v>
      </c>
      <c r="S19" s="8" t="s">
        <v>7</v>
      </c>
      <c r="T19" s="8" t="s">
        <v>4</v>
      </c>
      <c r="U19" s="12">
        <v>1</v>
      </c>
      <c r="V19" s="27">
        <v>1</v>
      </c>
    </row>
    <row r="20" spans="1:22" ht="12" customHeight="1" x14ac:dyDescent="0.25">
      <c r="A20" s="1">
        <v>16</v>
      </c>
      <c r="B20" s="11" t="s">
        <v>19</v>
      </c>
      <c r="C20" s="8" t="s">
        <v>7</v>
      </c>
      <c r="D20" s="21" t="s">
        <v>6</v>
      </c>
      <c r="E20" s="8" t="s">
        <v>5</v>
      </c>
      <c r="F20" s="8" t="s">
        <v>1</v>
      </c>
      <c r="G20" s="12">
        <v>2</v>
      </c>
      <c r="H20" s="1">
        <v>0</v>
      </c>
      <c r="O20" s="1">
        <f t="shared" si="0"/>
        <v>16</v>
      </c>
      <c r="P20" s="11" t="s">
        <v>1</v>
      </c>
      <c r="Q20" s="8" t="s">
        <v>4</v>
      </c>
      <c r="R20" s="21" t="s">
        <v>2</v>
      </c>
      <c r="S20" s="8" t="s">
        <v>3</v>
      </c>
      <c r="T20" s="8" t="s">
        <v>7</v>
      </c>
      <c r="U20" s="12">
        <v>2</v>
      </c>
      <c r="V20" s="27">
        <v>1</v>
      </c>
    </row>
    <row r="21" spans="1:22" ht="12" customHeight="1" x14ac:dyDescent="0.25">
      <c r="A21" s="1">
        <v>17</v>
      </c>
      <c r="B21" s="11" t="s">
        <v>18</v>
      </c>
      <c r="C21" s="8" t="s">
        <v>7</v>
      </c>
      <c r="D21" s="8" t="s">
        <v>6</v>
      </c>
      <c r="E21" s="8" t="s">
        <v>1</v>
      </c>
      <c r="F21" s="21" t="s">
        <v>5</v>
      </c>
      <c r="G21" s="12">
        <v>4</v>
      </c>
      <c r="H21" s="1">
        <v>0</v>
      </c>
      <c r="O21" s="1">
        <f t="shared" si="0"/>
        <v>17</v>
      </c>
      <c r="P21" s="11" t="s">
        <v>2</v>
      </c>
      <c r="Q21" s="8" t="s">
        <v>7</v>
      </c>
      <c r="R21" s="8" t="s">
        <v>3</v>
      </c>
      <c r="S21" s="21" t="s">
        <v>2</v>
      </c>
      <c r="T21" s="8" t="s">
        <v>4</v>
      </c>
      <c r="U21" s="12">
        <v>3</v>
      </c>
      <c r="V21" s="27">
        <v>1</v>
      </c>
    </row>
    <row r="22" spans="1:22" ht="12" customHeight="1" x14ac:dyDescent="0.25">
      <c r="A22" s="1">
        <v>18</v>
      </c>
      <c r="B22" s="11" t="s">
        <v>17</v>
      </c>
      <c r="C22" s="8" t="s">
        <v>5</v>
      </c>
      <c r="D22" s="21" t="s">
        <v>1</v>
      </c>
      <c r="E22" s="8" t="s">
        <v>6</v>
      </c>
      <c r="F22" s="8" t="s">
        <v>7</v>
      </c>
      <c r="G22" s="12">
        <v>2</v>
      </c>
      <c r="H22" s="1">
        <v>0</v>
      </c>
      <c r="O22" s="1">
        <f t="shared" si="0"/>
        <v>18</v>
      </c>
      <c r="P22" s="11" t="s">
        <v>3</v>
      </c>
      <c r="Q22" s="8" t="s">
        <v>7</v>
      </c>
      <c r="R22" s="8" t="s">
        <v>1</v>
      </c>
      <c r="S22" s="21" t="s">
        <v>5</v>
      </c>
      <c r="T22" s="8" t="s">
        <v>6</v>
      </c>
      <c r="U22" s="12">
        <v>3</v>
      </c>
      <c r="V22" s="27">
        <v>1</v>
      </c>
    </row>
    <row r="23" spans="1:22" ht="12" customHeight="1" x14ac:dyDescent="0.25">
      <c r="A23" s="1">
        <v>19</v>
      </c>
      <c r="B23" s="11" t="s">
        <v>5</v>
      </c>
      <c r="C23" s="8" t="s">
        <v>7</v>
      </c>
      <c r="D23" s="8" t="s">
        <v>19</v>
      </c>
      <c r="E23" s="21" t="s">
        <v>18</v>
      </c>
      <c r="F23" s="8" t="s">
        <v>17</v>
      </c>
      <c r="G23" s="12">
        <v>3</v>
      </c>
      <c r="H23" s="1">
        <v>0</v>
      </c>
      <c r="O23" s="1">
        <f t="shared" si="0"/>
        <v>19</v>
      </c>
      <c r="P23" s="11" t="s">
        <v>6</v>
      </c>
      <c r="Q23" s="21" t="s">
        <v>4</v>
      </c>
      <c r="R23" s="8" t="s">
        <v>7</v>
      </c>
      <c r="S23" s="8" t="s">
        <v>3</v>
      </c>
      <c r="T23" s="8" t="s">
        <v>2</v>
      </c>
      <c r="U23" s="12">
        <v>1</v>
      </c>
      <c r="V23" s="27">
        <v>1</v>
      </c>
    </row>
    <row r="24" spans="1:22" ht="12" customHeight="1" x14ac:dyDescent="0.25">
      <c r="A24" s="1">
        <v>20</v>
      </c>
      <c r="B24" s="11" t="s">
        <v>17</v>
      </c>
      <c r="C24" s="21" t="s">
        <v>1</v>
      </c>
      <c r="D24" s="8" t="s">
        <v>7</v>
      </c>
      <c r="E24" s="8" t="s">
        <v>5</v>
      </c>
      <c r="F24" s="8" t="s">
        <v>6</v>
      </c>
      <c r="G24" s="12">
        <v>1</v>
      </c>
      <c r="H24" s="1">
        <v>0</v>
      </c>
      <c r="O24" s="1">
        <f t="shared" si="0"/>
        <v>20</v>
      </c>
      <c r="P24" s="11" t="s">
        <v>5</v>
      </c>
      <c r="Q24" s="8" t="s">
        <v>4</v>
      </c>
      <c r="R24" s="21" t="s">
        <v>3</v>
      </c>
      <c r="S24" s="8" t="s">
        <v>7</v>
      </c>
      <c r="T24" s="8" t="s">
        <v>2</v>
      </c>
      <c r="U24" s="12">
        <v>2</v>
      </c>
      <c r="V24" s="27">
        <v>1</v>
      </c>
    </row>
    <row r="25" spans="1:22" ht="12" customHeight="1" x14ac:dyDescent="0.25">
      <c r="A25" s="1">
        <v>21</v>
      </c>
      <c r="B25" s="11" t="s">
        <v>17</v>
      </c>
      <c r="C25" s="8" t="s">
        <v>5</v>
      </c>
      <c r="D25" s="21" t="s">
        <v>1</v>
      </c>
      <c r="E25" s="8" t="s">
        <v>6</v>
      </c>
      <c r="F25" s="8" t="s">
        <v>7</v>
      </c>
      <c r="G25" s="12">
        <v>2</v>
      </c>
      <c r="H25" s="1">
        <v>0</v>
      </c>
      <c r="O25" s="1">
        <f t="shared" si="0"/>
        <v>21</v>
      </c>
      <c r="P25" s="11" t="s">
        <v>3</v>
      </c>
      <c r="Q25" s="8" t="s">
        <v>2</v>
      </c>
      <c r="R25" s="8" t="s">
        <v>7</v>
      </c>
      <c r="S25" s="8" t="s">
        <v>4</v>
      </c>
      <c r="T25" s="21" t="s">
        <v>3</v>
      </c>
      <c r="U25" s="12">
        <v>4</v>
      </c>
      <c r="V25" s="27">
        <v>1</v>
      </c>
    </row>
    <row r="26" spans="1:22" ht="12" customHeight="1" x14ac:dyDescent="0.25">
      <c r="A26" s="1">
        <v>22</v>
      </c>
      <c r="B26" s="11" t="s">
        <v>6</v>
      </c>
      <c r="C26" s="8" t="s">
        <v>7</v>
      </c>
      <c r="D26" s="8" t="s">
        <v>17</v>
      </c>
      <c r="E26" s="21" t="s">
        <v>19</v>
      </c>
      <c r="F26" s="8" t="s">
        <v>18</v>
      </c>
      <c r="G26" s="12">
        <v>3</v>
      </c>
      <c r="H26" s="1">
        <v>0</v>
      </c>
      <c r="O26" s="1">
        <f t="shared" si="0"/>
        <v>22</v>
      </c>
      <c r="P26" s="11" t="s">
        <v>4</v>
      </c>
      <c r="Q26" s="8" t="s">
        <v>5</v>
      </c>
      <c r="R26" s="8" t="s">
        <v>7</v>
      </c>
      <c r="S26" s="8" t="s">
        <v>1</v>
      </c>
      <c r="T26" s="21" t="s">
        <v>6</v>
      </c>
      <c r="U26" s="12">
        <v>4</v>
      </c>
      <c r="V26" s="27">
        <v>1</v>
      </c>
    </row>
    <row r="27" spans="1:22" ht="12" customHeight="1" x14ac:dyDescent="0.25">
      <c r="A27" s="1">
        <v>23</v>
      </c>
      <c r="B27" s="11" t="s">
        <v>5</v>
      </c>
      <c r="C27" s="8" t="s">
        <v>17</v>
      </c>
      <c r="D27" s="8" t="s">
        <v>19</v>
      </c>
      <c r="E27" s="21" t="s">
        <v>18</v>
      </c>
      <c r="F27" s="8" t="s">
        <v>7</v>
      </c>
      <c r="G27" s="12">
        <v>3</v>
      </c>
      <c r="H27" s="1">
        <v>0</v>
      </c>
      <c r="O27" s="1">
        <f t="shared" si="0"/>
        <v>23</v>
      </c>
      <c r="P27" s="11" t="s">
        <v>3</v>
      </c>
      <c r="Q27" s="8" t="s">
        <v>2</v>
      </c>
      <c r="R27" s="21" t="s">
        <v>3</v>
      </c>
      <c r="S27" s="8" t="s">
        <v>7</v>
      </c>
      <c r="T27" s="8" t="s">
        <v>4</v>
      </c>
      <c r="U27" s="12">
        <v>2</v>
      </c>
      <c r="V27" s="27">
        <v>1</v>
      </c>
    </row>
    <row r="28" spans="1:22" ht="12" customHeight="1" x14ac:dyDescent="0.25">
      <c r="A28" s="1">
        <v>24</v>
      </c>
      <c r="B28" s="11" t="s">
        <v>1</v>
      </c>
      <c r="C28" s="8" t="s">
        <v>18</v>
      </c>
      <c r="D28" s="8" t="s">
        <v>19</v>
      </c>
      <c r="E28" s="8" t="s">
        <v>7</v>
      </c>
      <c r="F28" s="21" t="s">
        <v>17</v>
      </c>
      <c r="G28" s="12">
        <v>4</v>
      </c>
      <c r="H28" s="1">
        <v>0</v>
      </c>
      <c r="O28" s="1">
        <f t="shared" si="0"/>
        <v>24</v>
      </c>
      <c r="P28" s="11" t="s">
        <v>4</v>
      </c>
      <c r="Q28" s="8" t="s">
        <v>1</v>
      </c>
      <c r="R28" s="8" t="s">
        <v>7</v>
      </c>
      <c r="S28" s="8" t="s">
        <v>5</v>
      </c>
      <c r="T28" s="21" t="s">
        <v>6</v>
      </c>
      <c r="U28" s="12">
        <v>4</v>
      </c>
      <c r="V28" s="27">
        <v>1</v>
      </c>
    </row>
    <row r="29" spans="1:22" ht="12" customHeight="1" x14ac:dyDescent="0.25">
      <c r="A29" s="1">
        <v>25</v>
      </c>
      <c r="B29" s="11" t="s">
        <v>1</v>
      </c>
      <c r="C29" s="8" t="s">
        <v>7</v>
      </c>
      <c r="D29" s="8" t="s">
        <v>17</v>
      </c>
      <c r="E29" s="21" t="s">
        <v>18</v>
      </c>
      <c r="F29" s="8" t="s">
        <v>19</v>
      </c>
      <c r="G29" s="12">
        <v>2</v>
      </c>
      <c r="H29" s="1">
        <v>0</v>
      </c>
      <c r="O29" s="1">
        <f t="shared" si="0"/>
        <v>25</v>
      </c>
      <c r="P29" s="11" t="s">
        <v>2</v>
      </c>
      <c r="Q29" s="8" t="s">
        <v>5</v>
      </c>
      <c r="R29" s="8" t="s">
        <v>6</v>
      </c>
      <c r="S29" s="21" t="s">
        <v>1</v>
      </c>
      <c r="T29" s="8" t="s">
        <v>7</v>
      </c>
      <c r="U29" s="12">
        <v>3</v>
      </c>
      <c r="V29" s="27">
        <v>1</v>
      </c>
    </row>
    <row r="30" spans="1:22" ht="12" customHeight="1" x14ac:dyDescent="0.25">
      <c r="A30" s="1">
        <v>26</v>
      </c>
      <c r="B30" s="11" t="s">
        <v>6</v>
      </c>
      <c r="C30" s="8" t="s">
        <v>18</v>
      </c>
      <c r="D30" s="8" t="s">
        <v>17</v>
      </c>
      <c r="E30" s="21" t="s">
        <v>19</v>
      </c>
      <c r="F30" s="8" t="s">
        <v>7</v>
      </c>
      <c r="G30" s="12">
        <v>3</v>
      </c>
      <c r="H30" s="1">
        <v>0</v>
      </c>
      <c r="O30" s="1">
        <f t="shared" si="0"/>
        <v>26</v>
      </c>
      <c r="P30" s="11" t="s">
        <v>5</v>
      </c>
      <c r="Q30" s="8" t="s">
        <v>6</v>
      </c>
      <c r="R30" s="21" t="s">
        <v>5</v>
      </c>
      <c r="S30" s="8" t="s">
        <v>7</v>
      </c>
      <c r="T30" s="8" t="s">
        <v>1</v>
      </c>
      <c r="U30" s="12">
        <v>2</v>
      </c>
      <c r="V30" s="27">
        <v>1</v>
      </c>
    </row>
    <row r="31" spans="1:22" ht="12" customHeight="1" x14ac:dyDescent="0.25">
      <c r="A31" s="1">
        <v>27</v>
      </c>
      <c r="B31" s="11" t="s">
        <v>6</v>
      </c>
      <c r="C31" s="8" t="s">
        <v>18</v>
      </c>
      <c r="D31" s="8" t="s">
        <v>7</v>
      </c>
      <c r="E31" s="21" t="s">
        <v>19</v>
      </c>
      <c r="F31" s="8" t="s">
        <v>17</v>
      </c>
      <c r="G31" s="12">
        <v>3</v>
      </c>
      <c r="H31" s="1">
        <v>0</v>
      </c>
      <c r="O31" s="1">
        <f t="shared" si="0"/>
        <v>27</v>
      </c>
      <c r="P31" s="11" t="s">
        <v>4</v>
      </c>
      <c r="Q31" s="21" t="s">
        <v>4</v>
      </c>
      <c r="R31" s="8" t="s">
        <v>7</v>
      </c>
      <c r="S31" s="8" t="s">
        <v>3</v>
      </c>
      <c r="T31" s="8" t="s">
        <v>2</v>
      </c>
      <c r="U31" s="12">
        <v>1</v>
      </c>
      <c r="V31" s="27">
        <v>1</v>
      </c>
    </row>
    <row r="32" spans="1:22" ht="12" customHeight="1" x14ac:dyDescent="0.25">
      <c r="A32" s="1">
        <v>28</v>
      </c>
      <c r="B32" s="11" t="s">
        <v>5</v>
      </c>
      <c r="C32" s="8" t="s">
        <v>7</v>
      </c>
      <c r="D32" s="21" t="s">
        <v>18</v>
      </c>
      <c r="E32" s="8" t="s">
        <v>19</v>
      </c>
      <c r="F32" s="8" t="s">
        <v>17</v>
      </c>
      <c r="G32" s="12">
        <v>2</v>
      </c>
      <c r="H32" s="1">
        <v>0</v>
      </c>
      <c r="O32" s="1">
        <f t="shared" si="0"/>
        <v>28</v>
      </c>
      <c r="P32" s="11" t="s">
        <v>1</v>
      </c>
      <c r="Q32" s="8" t="s">
        <v>5</v>
      </c>
      <c r="R32" s="8" t="s">
        <v>6</v>
      </c>
      <c r="S32" s="8" t="s">
        <v>7</v>
      </c>
      <c r="T32" s="21" t="s">
        <v>1</v>
      </c>
      <c r="U32" s="12">
        <v>4</v>
      </c>
      <c r="V32" s="27">
        <v>1</v>
      </c>
    </row>
    <row r="33" spans="1:25" ht="12" customHeight="1" x14ac:dyDescent="0.25">
      <c r="A33" s="1">
        <v>29</v>
      </c>
      <c r="B33" s="11" t="s">
        <v>6</v>
      </c>
      <c r="C33" s="21" t="s">
        <v>19</v>
      </c>
      <c r="D33" s="8" t="s">
        <v>7</v>
      </c>
      <c r="E33" s="8" t="s">
        <v>17</v>
      </c>
      <c r="F33" s="8" t="s">
        <v>18</v>
      </c>
      <c r="G33" s="12">
        <v>1</v>
      </c>
      <c r="H33" s="1">
        <v>0</v>
      </c>
      <c r="O33" s="1">
        <f t="shared" si="0"/>
        <v>29</v>
      </c>
      <c r="P33" s="11" t="s">
        <v>3</v>
      </c>
      <c r="Q33" s="21" t="s">
        <v>3</v>
      </c>
      <c r="R33" s="8" t="s">
        <v>2</v>
      </c>
      <c r="S33" s="8" t="s">
        <v>4</v>
      </c>
      <c r="T33" s="8" t="s">
        <v>7</v>
      </c>
      <c r="U33" s="12">
        <v>1</v>
      </c>
      <c r="V33" s="27">
        <v>1</v>
      </c>
    </row>
    <row r="34" spans="1:25" ht="12" customHeight="1" x14ac:dyDescent="0.25">
      <c r="A34" s="1">
        <v>30</v>
      </c>
      <c r="B34" s="11" t="s">
        <v>18</v>
      </c>
      <c r="C34" s="21" t="s">
        <v>5</v>
      </c>
      <c r="D34" s="8" t="s">
        <v>7</v>
      </c>
      <c r="E34" s="8" t="s">
        <v>1</v>
      </c>
      <c r="F34" s="8" t="s">
        <v>6</v>
      </c>
      <c r="G34" s="12">
        <v>1</v>
      </c>
      <c r="H34" s="1">
        <v>0</v>
      </c>
      <c r="O34" s="1">
        <f t="shared" si="0"/>
        <v>30</v>
      </c>
      <c r="P34" s="11" t="s">
        <v>6</v>
      </c>
      <c r="Q34" s="8" t="s">
        <v>1</v>
      </c>
      <c r="R34" s="21" t="s">
        <v>6</v>
      </c>
      <c r="S34" s="8" t="s">
        <v>7</v>
      </c>
      <c r="T34" s="8" t="s">
        <v>5</v>
      </c>
      <c r="U34" s="12">
        <v>2</v>
      </c>
      <c r="V34" s="27">
        <v>1</v>
      </c>
    </row>
    <row r="35" spans="1:25" ht="12" customHeight="1" x14ac:dyDescent="0.25">
      <c r="A35" s="1">
        <v>31</v>
      </c>
      <c r="B35" s="11" t="s">
        <v>1</v>
      </c>
      <c r="C35" s="8" t="s">
        <v>19</v>
      </c>
      <c r="D35" s="21" t="s">
        <v>17</v>
      </c>
      <c r="E35" s="8" t="s">
        <v>18</v>
      </c>
      <c r="F35" s="8" t="s">
        <v>7</v>
      </c>
      <c r="G35" s="12">
        <v>2</v>
      </c>
      <c r="H35" s="1">
        <v>0</v>
      </c>
      <c r="O35" s="1">
        <f t="shared" si="0"/>
        <v>31</v>
      </c>
      <c r="P35" s="11" t="s">
        <v>4</v>
      </c>
      <c r="Q35" s="8" t="s">
        <v>7</v>
      </c>
      <c r="R35" s="8" t="s">
        <v>5</v>
      </c>
      <c r="S35" s="21" t="s">
        <v>6</v>
      </c>
      <c r="T35" s="8" t="s">
        <v>1</v>
      </c>
      <c r="U35" s="12">
        <v>3</v>
      </c>
      <c r="V35" s="27">
        <v>1</v>
      </c>
    </row>
    <row r="36" spans="1:25" ht="12" customHeight="1" x14ac:dyDescent="0.25">
      <c r="A36" s="1">
        <v>32</v>
      </c>
      <c r="B36" s="11" t="s">
        <v>19</v>
      </c>
      <c r="C36" s="21" t="s">
        <v>6</v>
      </c>
      <c r="D36" s="8" t="s">
        <v>5</v>
      </c>
      <c r="E36" s="8" t="s">
        <v>7</v>
      </c>
      <c r="F36" s="8" t="s">
        <v>1</v>
      </c>
      <c r="G36" s="12">
        <v>1</v>
      </c>
      <c r="H36" s="1">
        <v>0</v>
      </c>
      <c r="O36" s="1">
        <f t="shared" si="0"/>
        <v>32</v>
      </c>
      <c r="P36" s="11" t="s">
        <v>2</v>
      </c>
      <c r="Q36" s="21" t="s">
        <v>2</v>
      </c>
      <c r="R36" s="8" t="s">
        <v>3</v>
      </c>
      <c r="S36" s="8" t="s">
        <v>7</v>
      </c>
      <c r="T36" s="8" t="s">
        <v>4</v>
      </c>
      <c r="U36" s="12">
        <v>1</v>
      </c>
      <c r="V36" s="27">
        <v>1</v>
      </c>
    </row>
    <row r="37" spans="1:25" ht="12" customHeight="1" x14ac:dyDescent="0.25">
      <c r="A37" s="1">
        <v>33</v>
      </c>
      <c r="B37" s="11" t="s">
        <v>6</v>
      </c>
      <c r="C37" s="8" t="s">
        <v>7</v>
      </c>
      <c r="D37" s="8" t="s">
        <v>18</v>
      </c>
      <c r="E37" s="8" t="s">
        <v>17</v>
      </c>
      <c r="F37" s="21" t="s">
        <v>19</v>
      </c>
      <c r="G37" s="12">
        <v>4</v>
      </c>
      <c r="H37" s="1">
        <v>0</v>
      </c>
      <c r="O37" s="1">
        <f t="shared" si="0"/>
        <v>33</v>
      </c>
      <c r="P37" s="11" t="s">
        <v>1</v>
      </c>
      <c r="Q37" s="8" t="s">
        <v>6</v>
      </c>
      <c r="R37" s="21" t="s">
        <v>1</v>
      </c>
      <c r="S37" s="8" t="s">
        <v>5</v>
      </c>
      <c r="T37" s="8" t="s">
        <v>7</v>
      </c>
      <c r="U37" s="12">
        <v>2</v>
      </c>
      <c r="V37" s="27">
        <v>1</v>
      </c>
    </row>
    <row r="38" spans="1:25" ht="12" customHeight="1" x14ac:dyDescent="0.25">
      <c r="A38" s="1">
        <v>34</v>
      </c>
      <c r="B38" s="11" t="s">
        <v>17</v>
      </c>
      <c r="C38" s="21" t="s">
        <v>1</v>
      </c>
      <c r="D38" s="8" t="s">
        <v>7</v>
      </c>
      <c r="E38" s="8" t="s">
        <v>6</v>
      </c>
      <c r="F38" s="8" t="s">
        <v>5</v>
      </c>
      <c r="G38" s="12">
        <v>1</v>
      </c>
      <c r="H38" s="1">
        <v>0</v>
      </c>
      <c r="O38" s="1">
        <f t="shared" si="0"/>
        <v>34</v>
      </c>
      <c r="P38" s="11" t="s">
        <v>3</v>
      </c>
      <c r="Q38" s="8" t="s">
        <v>6</v>
      </c>
      <c r="R38" s="8" t="s">
        <v>7</v>
      </c>
      <c r="S38" s="8" t="s">
        <v>1</v>
      </c>
      <c r="T38" s="21" t="s">
        <v>5</v>
      </c>
      <c r="U38" s="12">
        <v>4</v>
      </c>
      <c r="V38" s="27">
        <v>1</v>
      </c>
    </row>
    <row r="39" spans="1:25" ht="12" customHeight="1" x14ac:dyDescent="0.25">
      <c r="A39" s="1">
        <v>35</v>
      </c>
      <c r="B39" s="11" t="s">
        <v>18</v>
      </c>
      <c r="C39" s="8" t="s">
        <v>6</v>
      </c>
      <c r="D39" s="21" t="s">
        <v>5</v>
      </c>
      <c r="E39" s="8" t="s">
        <v>1</v>
      </c>
      <c r="F39" s="8" t="s">
        <v>7</v>
      </c>
      <c r="G39" s="12">
        <v>2</v>
      </c>
      <c r="H39" s="1">
        <v>0</v>
      </c>
      <c r="I39" s="3"/>
      <c r="J39" s="3"/>
      <c r="K39" s="3"/>
      <c r="L39" s="3"/>
      <c r="M39" s="3"/>
      <c r="N39" s="3"/>
      <c r="O39" s="1">
        <f t="shared" si="0"/>
        <v>35</v>
      </c>
      <c r="P39" s="11" t="s">
        <v>6</v>
      </c>
      <c r="Q39" s="8" t="s">
        <v>1</v>
      </c>
      <c r="R39" s="8" t="s">
        <v>5</v>
      </c>
      <c r="S39" s="21" t="s">
        <v>6</v>
      </c>
      <c r="T39" s="8" t="s">
        <v>7</v>
      </c>
      <c r="U39" s="12">
        <v>3</v>
      </c>
      <c r="V39" s="27">
        <v>1</v>
      </c>
    </row>
    <row r="40" spans="1:25" ht="12" customHeight="1" x14ac:dyDescent="0.25">
      <c r="A40" s="1">
        <v>36</v>
      </c>
      <c r="B40" s="11" t="s">
        <v>19</v>
      </c>
      <c r="C40" s="8" t="s">
        <v>1</v>
      </c>
      <c r="D40" s="21" t="s">
        <v>6</v>
      </c>
      <c r="E40" s="8" t="s">
        <v>7</v>
      </c>
      <c r="F40" s="8" t="s">
        <v>5</v>
      </c>
      <c r="G40" s="12">
        <v>2</v>
      </c>
      <c r="H40" s="1">
        <v>0</v>
      </c>
      <c r="O40" s="1">
        <f t="shared" si="0"/>
        <v>36</v>
      </c>
      <c r="P40" s="11" t="s">
        <v>1</v>
      </c>
      <c r="Q40" s="8" t="s">
        <v>7</v>
      </c>
      <c r="R40" s="8" t="s">
        <v>6</v>
      </c>
      <c r="S40" s="21" t="s">
        <v>1</v>
      </c>
      <c r="T40" s="8" t="s">
        <v>5</v>
      </c>
      <c r="U40" s="12">
        <v>3</v>
      </c>
      <c r="V40" s="27">
        <v>1</v>
      </c>
    </row>
    <row r="41" spans="1:25" ht="12" customHeight="1" x14ac:dyDescent="0.25">
      <c r="A41" s="16"/>
      <c r="B41" s="12"/>
      <c r="C41" s="12"/>
      <c r="D41" s="12"/>
      <c r="E41" s="12"/>
      <c r="F41" s="12"/>
      <c r="G41" s="12"/>
      <c r="H41" s="1"/>
      <c r="O41" s="1">
        <f t="shared" si="0"/>
        <v>37</v>
      </c>
      <c r="P41" s="11" t="s">
        <v>1</v>
      </c>
      <c r="Q41" s="8" t="s">
        <v>7</v>
      </c>
      <c r="R41" s="21" t="s">
        <v>2</v>
      </c>
      <c r="S41" s="8" t="s">
        <v>3</v>
      </c>
      <c r="T41" s="8" t="s">
        <v>4</v>
      </c>
      <c r="U41" s="12">
        <v>2</v>
      </c>
      <c r="V41" s="27">
        <v>1</v>
      </c>
      <c r="Y41">
        <v>37</v>
      </c>
    </row>
    <row r="42" spans="1:25" ht="12" customHeight="1" x14ac:dyDescent="0.25">
      <c r="A42" s="17" t="s">
        <v>17</v>
      </c>
      <c r="B42" s="18" t="e">
        <f>COUNTIF(#REF!,"B1")</f>
        <v>#REF!</v>
      </c>
      <c r="C42" s="19" t="s">
        <v>1</v>
      </c>
      <c r="D42" s="19" t="s">
        <v>1</v>
      </c>
      <c r="E42" s="19" t="s">
        <v>1</v>
      </c>
      <c r="F42" s="19" t="s">
        <v>1</v>
      </c>
      <c r="G42" s="1"/>
      <c r="H42" s="1"/>
      <c r="O42" s="1">
        <f t="shared" si="0"/>
        <v>38</v>
      </c>
      <c r="P42" s="11" t="s">
        <v>5</v>
      </c>
      <c r="Q42" s="8" t="s">
        <v>1</v>
      </c>
      <c r="R42" s="8" t="s">
        <v>6</v>
      </c>
      <c r="S42" s="8" t="s">
        <v>7</v>
      </c>
      <c r="T42" s="21" t="s">
        <v>5</v>
      </c>
      <c r="U42" s="12">
        <v>4</v>
      </c>
      <c r="V42" s="27">
        <v>1</v>
      </c>
      <c r="Y42">
        <v>38</v>
      </c>
    </row>
    <row r="43" spans="1:25" ht="12" customHeight="1" x14ac:dyDescent="0.25">
      <c r="A43" s="17" t="s">
        <v>18</v>
      </c>
      <c r="B43" s="18" t="e">
        <f>COUNTIF(#REF!,"B2")</f>
        <v>#REF!</v>
      </c>
      <c r="C43" s="12" t="e">
        <f>COUNTIF(#REF!,"A1")</f>
        <v>#REF!</v>
      </c>
      <c r="D43" s="12" t="e">
        <f>COUNTIF(#REF!,"A1")</f>
        <v>#REF!</v>
      </c>
      <c r="E43" s="12" t="e">
        <f>COUNTIF(#REF!,"A1")</f>
        <v>#REF!</v>
      </c>
      <c r="F43" s="12" t="e">
        <f>COUNTIF(#REF!,"A1")</f>
        <v>#REF!</v>
      </c>
      <c r="G43" s="20" t="e">
        <f>SUM(C43:F43)</f>
        <v>#REF!</v>
      </c>
      <c r="H43" s="1"/>
      <c r="O43" s="1">
        <f t="shared" si="0"/>
        <v>39</v>
      </c>
      <c r="P43" s="11" t="s">
        <v>2</v>
      </c>
      <c r="Q43" s="8" t="s">
        <v>7</v>
      </c>
      <c r="R43" s="8" t="s">
        <v>5</v>
      </c>
      <c r="S43" s="8" t="s">
        <v>6</v>
      </c>
      <c r="T43" s="21" t="s">
        <v>1</v>
      </c>
      <c r="U43" s="12">
        <v>4</v>
      </c>
      <c r="V43" s="27">
        <v>1</v>
      </c>
      <c r="Y43">
        <v>39</v>
      </c>
    </row>
    <row r="44" spans="1:25" ht="12" customHeight="1" x14ac:dyDescent="0.25">
      <c r="A44" s="17" t="s">
        <v>19</v>
      </c>
      <c r="B44" s="18" t="e">
        <f>COUNTIF(#REF!,"B3")</f>
        <v>#REF!</v>
      </c>
      <c r="C44" s="19" t="s">
        <v>5</v>
      </c>
      <c r="D44" s="19" t="s">
        <v>5</v>
      </c>
      <c r="E44" s="19" t="s">
        <v>5</v>
      </c>
      <c r="F44" s="19" t="s">
        <v>5</v>
      </c>
      <c r="G44" s="1"/>
      <c r="H44" s="1"/>
      <c r="O44" s="1">
        <f t="shared" si="0"/>
        <v>40</v>
      </c>
      <c r="P44" s="11" t="s">
        <v>3</v>
      </c>
      <c r="Q44" s="8" t="s">
        <v>2</v>
      </c>
      <c r="R44" s="8" t="s">
        <v>7</v>
      </c>
      <c r="S44" s="21" t="s">
        <v>3</v>
      </c>
      <c r="T44" s="8" t="s">
        <v>4</v>
      </c>
      <c r="U44" s="12">
        <v>3</v>
      </c>
      <c r="V44" s="27">
        <v>1</v>
      </c>
      <c r="Y44">
        <v>40</v>
      </c>
    </row>
    <row r="45" spans="1:25" ht="12" customHeight="1" x14ac:dyDescent="0.25">
      <c r="A45" s="17" t="s">
        <v>1</v>
      </c>
      <c r="B45" s="18" t="e">
        <f>COUNTIF(#REF!,"A1")</f>
        <v>#REF!</v>
      </c>
      <c r="C45" s="12" t="e">
        <f>COUNTIF(#REF!,"A2")</f>
        <v>#REF!</v>
      </c>
      <c r="D45" s="12" t="e">
        <f>COUNTIF(#REF!,"A2")</f>
        <v>#REF!</v>
      </c>
      <c r="E45" s="12" t="e">
        <f>COUNTIF(#REF!,"A2")</f>
        <v>#REF!</v>
      </c>
      <c r="F45" s="12" t="e">
        <f>COUNTIF(#REF!,"A2")</f>
        <v>#REF!</v>
      </c>
      <c r="G45" s="20" t="e">
        <f>SUM(C45:F45)</f>
        <v>#REF!</v>
      </c>
      <c r="H45" s="1"/>
      <c r="O45" s="1">
        <f t="shared" si="0"/>
        <v>41</v>
      </c>
      <c r="P45" s="11" t="s">
        <v>2</v>
      </c>
      <c r="Q45" s="8" t="s">
        <v>6</v>
      </c>
      <c r="R45" s="21" t="s">
        <v>1</v>
      </c>
      <c r="S45" s="8" t="s">
        <v>5</v>
      </c>
      <c r="T45" s="8" t="s">
        <v>7</v>
      </c>
      <c r="U45" s="12">
        <v>2</v>
      </c>
      <c r="V45" s="27">
        <v>1</v>
      </c>
      <c r="Y45">
        <v>41</v>
      </c>
    </row>
    <row r="46" spans="1:25" ht="12" customHeight="1" x14ac:dyDescent="0.25">
      <c r="A46" s="17" t="s">
        <v>5</v>
      </c>
      <c r="B46" s="18" t="e">
        <f>COUNTIF(#REF!,"B2")</f>
        <v>#REF!</v>
      </c>
      <c r="C46" s="19" t="s">
        <v>6</v>
      </c>
      <c r="D46" s="19" t="s">
        <v>6</v>
      </c>
      <c r="E46" s="19" t="s">
        <v>6</v>
      </c>
      <c r="F46" s="19" t="s">
        <v>6</v>
      </c>
      <c r="G46" s="1"/>
      <c r="H46" s="1"/>
      <c r="O46" s="1">
        <f t="shared" si="0"/>
        <v>42</v>
      </c>
      <c r="P46" s="11" t="s">
        <v>4</v>
      </c>
      <c r="Q46" s="8" t="s">
        <v>7</v>
      </c>
      <c r="R46" s="8" t="s">
        <v>2</v>
      </c>
      <c r="S46" s="8" t="s">
        <v>3</v>
      </c>
      <c r="T46" s="21" t="s">
        <v>4</v>
      </c>
      <c r="U46" s="12">
        <v>4</v>
      </c>
      <c r="V46" s="27">
        <v>1</v>
      </c>
      <c r="Y46">
        <v>42</v>
      </c>
    </row>
    <row r="47" spans="1:25" ht="12" customHeight="1" x14ac:dyDescent="0.25">
      <c r="A47" s="17" t="s">
        <v>6</v>
      </c>
      <c r="B47" s="18" t="e">
        <f>COUNTIF(#REF!,"A3")</f>
        <v>#REF!</v>
      </c>
      <c r="C47" s="12" t="e">
        <f>COUNTIF(#REF!,"A3")</f>
        <v>#REF!</v>
      </c>
      <c r="D47" s="12" t="e">
        <f>COUNTIF(#REF!,"A3")</f>
        <v>#REF!</v>
      </c>
      <c r="E47" s="12" t="e">
        <f>COUNTIF(#REF!,"A3")</f>
        <v>#REF!</v>
      </c>
      <c r="F47" s="12" t="e">
        <f>COUNTIF(#REF!,"A3")</f>
        <v>#REF!</v>
      </c>
      <c r="G47" s="20" t="e">
        <f>SUM(C47:F47)</f>
        <v>#REF!</v>
      </c>
      <c r="H47" s="1"/>
      <c r="O47" s="1">
        <f t="shared" si="0"/>
        <v>43</v>
      </c>
      <c r="P47" s="11" t="s">
        <v>1</v>
      </c>
      <c r="Q47" s="8" t="s">
        <v>4</v>
      </c>
      <c r="R47" s="8" t="s">
        <v>7</v>
      </c>
      <c r="S47" s="8" t="s">
        <v>3</v>
      </c>
      <c r="T47" s="21" t="s">
        <v>2</v>
      </c>
      <c r="U47" s="12">
        <v>4</v>
      </c>
      <c r="V47" s="27">
        <v>1</v>
      </c>
      <c r="Y47">
        <v>43</v>
      </c>
    </row>
    <row r="48" spans="1:25" ht="12" customHeight="1" x14ac:dyDescent="0.25">
      <c r="A48" s="16"/>
      <c r="B48" s="12"/>
      <c r="C48" s="19" t="s">
        <v>17</v>
      </c>
      <c r="D48" s="19" t="s">
        <v>17</v>
      </c>
      <c r="E48" s="19" t="s">
        <v>17</v>
      </c>
      <c r="F48" s="19" t="s">
        <v>17</v>
      </c>
      <c r="G48" s="1"/>
      <c r="H48" s="1"/>
      <c r="O48" s="1">
        <f t="shared" si="0"/>
        <v>44</v>
      </c>
      <c r="P48" s="11" t="s">
        <v>6</v>
      </c>
      <c r="Q48" s="8" t="s">
        <v>7</v>
      </c>
      <c r="R48" s="8" t="s">
        <v>3</v>
      </c>
      <c r="S48" s="21" t="s">
        <v>4</v>
      </c>
      <c r="T48" s="8" t="s">
        <v>2</v>
      </c>
      <c r="U48" s="12">
        <v>3</v>
      </c>
      <c r="V48" s="27">
        <v>1</v>
      </c>
      <c r="Y48">
        <v>44</v>
      </c>
    </row>
    <row r="49" spans="1:32" ht="12" customHeight="1" x14ac:dyDescent="0.25">
      <c r="A49" s="16"/>
      <c r="B49" s="12"/>
      <c r="C49" s="12" t="e">
        <f>COUNTIF(#REF!,"C1")</f>
        <v>#REF!</v>
      </c>
      <c r="D49" s="12" t="e">
        <f>COUNTIF(#REF!,"C1")</f>
        <v>#REF!</v>
      </c>
      <c r="E49" s="12" t="e">
        <f>COUNTIF(#REF!,"C1")</f>
        <v>#REF!</v>
      </c>
      <c r="F49" s="12" t="e">
        <f>COUNTIF(#REF!,"C1")</f>
        <v>#REF!</v>
      </c>
      <c r="G49" s="20" t="e">
        <f>SUM(C49:F49)</f>
        <v>#REF!</v>
      </c>
      <c r="H49" s="1"/>
      <c r="O49" s="1">
        <f t="shared" si="0"/>
        <v>45</v>
      </c>
      <c r="P49" s="11" t="s">
        <v>1</v>
      </c>
      <c r="Q49" s="8" t="s">
        <v>6</v>
      </c>
      <c r="R49" s="8" t="s">
        <v>5</v>
      </c>
      <c r="S49" s="8" t="s">
        <v>7</v>
      </c>
      <c r="T49" s="21" t="s">
        <v>1</v>
      </c>
      <c r="U49" s="12">
        <v>4</v>
      </c>
      <c r="V49" s="27">
        <v>1</v>
      </c>
      <c r="Y49">
        <v>45</v>
      </c>
      <c r="AA49" s="9"/>
      <c r="AF49"/>
    </row>
    <row r="50" spans="1:32" ht="12" customHeight="1" x14ac:dyDescent="0.25">
      <c r="A50" s="16"/>
      <c r="B50" s="12"/>
      <c r="C50" s="19" t="s">
        <v>18</v>
      </c>
      <c r="D50" s="19" t="s">
        <v>18</v>
      </c>
      <c r="E50" s="19" t="s">
        <v>18</v>
      </c>
      <c r="F50" s="19" t="s">
        <v>18</v>
      </c>
      <c r="G50" s="1"/>
      <c r="H50" s="1"/>
      <c r="O50" s="1">
        <f t="shared" si="0"/>
        <v>46</v>
      </c>
      <c r="P50" s="11" t="s">
        <v>4</v>
      </c>
      <c r="Q50" s="8" t="s">
        <v>3</v>
      </c>
      <c r="R50" s="21" t="s">
        <v>4</v>
      </c>
      <c r="S50" s="8" t="s">
        <v>2</v>
      </c>
      <c r="T50" s="8" t="s">
        <v>7</v>
      </c>
      <c r="U50" s="12">
        <v>2</v>
      </c>
      <c r="V50" s="27">
        <v>1</v>
      </c>
      <c r="Y50">
        <v>46</v>
      </c>
      <c r="AA50" s="9"/>
      <c r="AF50"/>
    </row>
    <row r="51" spans="1:32" ht="12" customHeight="1" x14ac:dyDescent="0.25">
      <c r="A51" s="16"/>
      <c r="B51" s="12"/>
      <c r="C51" s="12" t="e">
        <f>COUNTIF(#REF!,"C2")</f>
        <v>#REF!</v>
      </c>
      <c r="D51" s="12" t="e">
        <f>COUNTIF(#REF!,"C2")</f>
        <v>#REF!</v>
      </c>
      <c r="E51" s="12" t="e">
        <f>COUNTIF(#REF!,"C2")</f>
        <v>#REF!</v>
      </c>
      <c r="F51" s="12" t="e">
        <f>COUNTIF(#REF!,"C2")</f>
        <v>#REF!</v>
      </c>
      <c r="G51" s="20" t="e">
        <f>SUM(C51:F51)</f>
        <v>#REF!</v>
      </c>
      <c r="H51" s="1"/>
      <c r="O51" s="1">
        <f t="shared" si="0"/>
        <v>47</v>
      </c>
      <c r="P51" s="11" t="s">
        <v>5</v>
      </c>
      <c r="Q51" s="8" t="s">
        <v>6</v>
      </c>
      <c r="R51" s="21" t="s">
        <v>5</v>
      </c>
      <c r="S51" s="8" t="s">
        <v>1</v>
      </c>
      <c r="T51" s="8" t="s">
        <v>7</v>
      </c>
      <c r="U51" s="12">
        <v>2</v>
      </c>
      <c r="V51" s="27">
        <v>1</v>
      </c>
      <c r="Y51">
        <v>47</v>
      </c>
      <c r="AA51" s="9"/>
      <c r="AE51"/>
      <c r="AF51"/>
    </row>
    <row r="52" spans="1:32" ht="12" customHeight="1" x14ac:dyDescent="0.25">
      <c r="A52" s="16"/>
      <c r="B52" s="12"/>
      <c r="C52" s="19" t="s">
        <v>19</v>
      </c>
      <c r="D52" s="19" t="s">
        <v>19</v>
      </c>
      <c r="E52" s="19" t="s">
        <v>19</v>
      </c>
      <c r="F52" s="19" t="s">
        <v>19</v>
      </c>
      <c r="G52" s="1"/>
      <c r="H52" s="1"/>
      <c r="O52" s="1">
        <f t="shared" si="0"/>
        <v>48</v>
      </c>
      <c r="P52" s="11" t="s">
        <v>3</v>
      </c>
      <c r="Q52" s="8" t="s">
        <v>7</v>
      </c>
      <c r="R52" s="8" t="s">
        <v>1</v>
      </c>
      <c r="S52" s="21" t="s">
        <v>5</v>
      </c>
      <c r="T52" s="8" t="s">
        <v>6</v>
      </c>
      <c r="U52" s="12">
        <v>3</v>
      </c>
      <c r="V52" s="27">
        <v>1</v>
      </c>
      <c r="Y52">
        <v>48</v>
      </c>
      <c r="AA52" s="9"/>
      <c r="AE52"/>
      <c r="AF52"/>
    </row>
    <row r="53" spans="1:32" ht="12" customHeight="1" x14ac:dyDescent="0.25">
      <c r="A53" s="16"/>
      <c r="B53" s="12"/>
      <c r="C53" s="12" t="e">
        <f>COUNTIF(#REF!,"C3")</f>
        <v>#REF!</v>
      </c>
      <c r="D53" s="12" t="e">
        <f>COUNTIF(#REF!,"C3")</f>
        <v>#REF!</v>
      </c>
      <c r="E53" s="12" t="e">
        <f>COUNTIF(#REF!,"C3")</f>
        <v>#REF!</v>
      </c>
      <c r="F53" s="12" t="e">
        <f>COUNTIF(#REF!,"C3")</f>
        <v>#REF!</v>
      </c>
      <c r="G53" s="20" t="e">
        <f>SUM(C53:F53)</f>
        <v>#REF!</v>
      </c>
      <c r="H53" s="1"/>
      <c r="O53" s="1">
        <f t="shared" si="0"/>
        <v>49</v>
      </c>
      <c r="P53" s="11" t="s">
        <v>6</v>
      </c>
      <c r="Q53" s="8" t="s">
        <v>2</v>
      </c>
      <c r="R53" s="8" t="s">
        <v>3</v>
      </c>
      <c r="S53" s="21" t="s">
        <v>4</v>
      </c>
      <c r="T53" s="8" t="s">
        <v>7</v>
      </c>
      <c r="U53" s="12">
        <v>3</v>
      </c>
      <c r="V53" s="27">
        <v>1</v>
      </c>
      <c r="Y53">
        <v>49</v>
      </c>
      <c r="AA53" s="9"/>
      <c r="AE53"/>
      <c r="AF53"/>
    </row>
    <row r="54" spans="1:32" ht="12" customHeight="1" x14ac:dyDescent="0.25">
      <c r="O54" s="1">
        <f t="shared" si="0"/>
        <v>50</v>
      </c>
      <c r="P54" s="11" t="s">
        <v>6</v>
      </c>
      <c r="Q54" s="8" t="s">
        <v>1</v>
      </c>
      <c r="R54" s="8" t="s">
        <v>7</v>
      </c>
      <c r="S54" s="8" t="s">
        <v>5</v>
      </c>
      <c r="T54" s="21" t="s">
        <v>6</v>
      </c>
      <c r="U54" s="12">
        <v>4</v>
      </c>
      <c r="V54" s="27">
        <v>1</v>
      </c>
      <c r="Y54">
        <v>50</v>
      </c>
      <c r="AA54" s="9"/>
      <c r="AE54"/>
      <c r="AF54"/>
    </row>
    <row r="55" spans="1:32" ht="12" customHeight="1" x14ac:dyDescent="0.25">
      <c r="O55" s="1">
        <f t="shared" si="0"/>
        <v>51</v>
      </c>
      <c r="P55" s="11" t="s">
        <v>5</v>
      </c>
      <c r="Q55" s="8" t="s">
        <v>7</v>
      </c>
      <c r="R55" s="8" t="s">
        <v>4</v>
      </c>
      <c r="S55" s="21" t="s">
        <v>3</v>
      </c>
      <c r="T55" s="8" t="s">
        <v>2</v>
      </c>
      <c r="U55" s="12">
        <v>3</v>
      </c>
      <c r="V55" s="27">
        <v>1</v>
      </c>
      <c r="Y55">
        <v>51</v>
      </c>
      <c r="AA55" s="9"/>
      <c r="AE55"/>
      <c r="AF55"/>
    </row>
    <row r="56" spans="1:32" ht="12" customHeight="1" x14ac:dyDescent="0.25">
      <c r="O56" s="1">
        <f t="shared" si="0"/>
        <v>52</v>
      </c>
      <c r="P56" s="11" t="s">
        <v>3</v>
      </c>
      <c r="Q56" s="8" t="s">
        <v>4</v>
      </c>
      <c r="R56" s="8" t="s">
        <v>7</v>
      </c>
      <c r="S56" s="8" t="s">
        <v>2</v>
      </c>
      <c r="T56" s="21" t="s">
        <v>3</v>
      </c>
      <c r="U56" s="12">
        <v>4</v>
      </c>
      <c r="V56" s="27">
        <v>1</v>
      </c>
      <c r="Y56">
        <v>52</v>
      </c>
      <c r="AA56" s="9"/>
      <c r="AE56"/>
      <c r="AF56"/>
    </row>
    <row r="57" spans="1:32" ht="12" customHeight="1" x14ac:dyDescent="0.25">
      <c r="O57" s="1">
        <f t="shared" si="0"/>
        <v>53</v>
      </c>
      <c r="P57" s="11" t="s">
        <v>4</v>
      </c>
      <c r="Q57" s="8" t="s">
        <v>7</v>
      </c>
      <c r="R57" s="8" t="s">
        <v>5</v>
      </c>
      <c r="S57" s="21" t="s">
        <v>6</v>
      </c>
      <c r="T57" s="8" t="s">
        <v>1</v>
      </c>
      <c r="U57" s="12">
        <v>3</v>
      </c>
      <c r="V57" s="27">
        <v>1</v>
      </c>
      <c r="Y57">
        <v>53</v>
      </c>
      <c r="AA57" s="9"/>
      <c r="AE57"/>
      <c r="AF57"/>
    </row>
    <row r="58" spans="1:32" ht="12" customHeight="1" x14ac:dyDescent="0.25">
      <c r="O58" s="1">
        <f t="shared" si="0"/>
        <v>54</v>
      </c>
      <c r="P58" s="11" t="s">
        <v>2</v>
      </c>
      <c r="Q58" s="8" t="s">
        <v>7</v>
      </c>
      <c r="R58" s="8" t="s">
        <v>6</v>
      </c>
      <c r="S58" s="21" t="s">
        <v>1</v>
      </c>
      <c r="T58" s="8" t="s">
        <v>5</v>
      </c>
      <c r="U58" s="12">
        <v>3</v>
      </c>
      <c r="V58" s="27">
        <v>1</v>
      </c>
      <c r="Y58">
        <v>54</v>
      </c>
      <c r="AA58" s="9"/>
      <c r="AE58"/>
      <c r="AF58"/>
    </row>
    <row r="59" spans="1:32" ht="12" customHeight="1" x14ac:dyDescent="0.25">
      <c r="O59" s="16"/>
      <c r="P59" s="12"/>
      <c r="Q59" s="12"/>
      <c r="R59" s="12"/>
      <c r="S59" s="12"/>
      <c r="T59" s="12"/>
      <c r="U59" s="12"/>
      <c r="V59" s="1"/>
      <c r="AA59" s="9"/>
      <c r="AE59"/>
      <c r="AF59"/>
    </row>
    <row r="60" spans="1:32" ht="12" customHeight="1" x14ac:dyDescent="0.25">
      <c r="O60" s="17" t="s">
        <v>2</v>
      </c>
      <c r="P60" s="18">
        <f>COUNTIF(P5:P58,"B1")</f>
        <v>9</v>
      </c>
      <c r="Q60" s="19" t="s">
        <v>1</v>
      </c>
      <c r="R60" s="19" t="s">
        <v>1</v>
      </c>
      <c r="S60" s="19" t="s">
        <v>1</v>
      </c>
      <c r="T60" s="19" t="s">
        <v>1</v>
      </c>
      <c r="U60" s="1"/>
      <c r="AA60" s="9"/>
      <c r="AE60"/>
      <c r="AF60"/>
    </row>
    <row r="61" spans="1:32" ht="12" customHeight="1" x14ac:dyDescent="0.25">
      <c r="O61" s="17" t="s">
        <v>3</v>
      </c>
      <c r="P61" s="18">
        <f>COUNTIF(P5:P58,"B2")</f>
        <v>9</v>
      </c>
      <c r="Q61" s="12">
        <f>COUNTIF(Q5:Q58,"A1")</f>
        <v>6</v>
      </c>
      <c r="R61" s="12">
        <f>COUNTIF(R5:R58,"A1")</f>
        <v>7</v>
      </c>
      <c r="S61" s="12">
        <f>COUNTIF(S5:S58,"A1")</f>
        <v>7</v>
      </c>
      <c r="T61" s="12">
        <f>COUNTIF(T5:T58,"A1")</f>
        <v>7</v>
      </c>
      <c r="U61" s="20">
        <f>SUM(Q61:T61)</f>
        <v>27</v>
      </c>
      <c r="AF61"/>
    </row>
    <row r="62" spans="1:32" ht="12" customHeight="1" x14ac:dyDescent="0.25">
      <c r="O62" s="17" t="s">
        <v>4</v>
      </c>
      <c r="P62" s="18">
        <f>COUNTIF(P5:P58,"B3")</f>
        <v>9</v>
      </c>
      <c r="Q62" s="19" t="s">
        <v>5</v>
      </c>
      <c r="R62" s="19" t="s">
        <v>5</v>
      </c>
      <c r="S62" s="19" t="s">
        <v>5</v>
      </c>
      <c r="T62" s="19" t="s">
        <v>5</v>
      </c>
      <c r="U62" s="1"/>
      <c r="AF62"/>
    </row>
    <row r="63" spans="1:32" ht="12" customHeight="1" x14ac:dyDescent="0.25">
      <c r="O63" s="17" t="s">
        <v>1</v>
      </c>
      <c r="P63" s="18">
        <f>COUNTIF(P5:P58,"A1")</f>
        <v>9</v>
      </c>
      <c r="Q63" s="12">
        <f>COUNTIF(Q5:Q58,"A2")</f>
        <v>5</v>
      </c>
      <c r="R63" s="12">
        <f>COUNTIF(R5:R58,"A2")</f>
        <v>8</v>
      </c>
      <c r="S63" s="12">
        <f>COUNTIF(S5:S58,"A2")</f>
        <v>8</v>
      </c>
      <c r="T63" s="12">
        <f>COUNTIF(T5:T58,"A2")</f>
        <v>6</v>
      </c>
      <c r="U63" s="20">
        <f>SUM(Q63:T63)</f>
        <v>27</v>
      </c>
    </row>
    <row r="64" spans="1:32" ht="12" customHeight="1" x14ac:dyDescent="0.25">
      <c r="O64" s="17" t="s">
        <v>5</v>
      </c>
      <c r="P64" s="18">
        <f>COUNTIF(P5:P58,"A2")</f>
        <v>9</v>
      </c>
      <c r="Q64" s="19" t="s">
        <v>6</v>
      </c>
      <c r="R64" s="19" t="s">
        <v>6</v>
      </c>
      <c r="S64" s="19" t="s">
        <v>6</v>
      </c>
      <c r="T64" s="19" t="s">
        <v>6</v>
      </c>
      <c r="U64" s="1"/>
    </row>
    <row r="65" spans="15:21" ht="12" customHeight="1" x14ac:dyDescent="0.25">
      <c r="O65" s="17" t="s">
        <v>6</v>
      </c>
      <c r="P65" s="18">
        <f>COUNTIF(P5:P58,"A3")</f>
        <v>9</v>
      </c>
      <c r="Q65" s="12">
        <f>COUNTIF(Q5:Q58,"A3")</f>
        <v>8</v>
      </c>
      <c r="R65" s="12">
        <f>COUNTIF(R5:R58,"A3")</f>
        <v>6</v>
      </c>
      <c r="S65" s="12">
        <f>COUNTIF(S5:S58,"A3")</f>
        <v>6</v>
      </c>
      <c r="T65" s="12">
        <f>COUNTIF(T5:T58,"A3")</f>
        <v>7</v>
      </c>
      <c r="U65" s="20">
        <f>SUM(Q65:T65)</f>
        <v>27</v>
      </c>
    </row>
    <row r="66" spans="15:21" ht="12" customHeight="1" x14ac:dyDescent="0.25">
      <c r="O66" s="16"/>
      <c r="P66" s="12"/>
      <c r="Q66" s="19" t="s">
        <v>2</v>
      </c>
      <c r="R66" s="19" t="s">
        <v>2</v>
      </c>
      <c r="S66" s="19" t="s">
        <v>2</v>
      </c>
      <c r="T66" s="19" t="s">
        <v>2</v>
      </c>
      <c r="U66" s="1"/>
    </row>
    <row r="67" spans="15:21" ht="12" customHeight="1" x14ac:dyDescent="0.25">
      <c r="O67" s="16"/>
      <c r="P67" s="12"/>
      <c r="Q67" s="12">
        <f>COUNTIF(Q5:Q58,"B1")</f>
        <v>6</v>
      </c>
      <c r="R67" s="12">
        <f>COUNTIF(R5:R58,"B1")</f>
        <v>6</v>
      </c>
      <c r="S67" s="12">
        <f>COUNTIF(S5:S58,"B1")</f>
        <v>6</v>
      </c>
      <c r="T67" s="12">
        <f>COUNTIF(T5:T58,"B1")</f>
        <v>9</v>
      </c>
      <c r="U67" s="20">
        <f>SUM(Q67:T67)</f>
        <v>27</v>
      </c>
    </row>
    <row r="68" spans="15:21" ht="12" customHeight="1" x14ac:dyDescent="0.25">
      <c r="O68" s="16"/>
      <c r="P68" s="12"/>
      <c r="Q68" s="19" t="s">
        <v>3</v>
      </c>
      <c r="R68" s="19" t="s">
        <v>3</v>
      </c>
      <c r="S68" s="19" t="s">
        <v>3</v>
      </c>
      <c r="T68" s="19" t="s">
        <v>3</v>
      </c>
      <c r="U68" s="1"/>
    </row>
    <row r="69" spans="15:21" ht="12" customHeight="1" x14ac:dyDescent="0.25">
      <c r="O69" s="16"/>
      <c r="P69" s="12"/>
      <c r="Q69" s="12">
        <f>COUNTIF(Q5:Q58,"B2")</f>
        <v>6</v>
      </c>
      <c r="R69" s="12">
        <f>COUNTIF(R5:R58,"B2")</f>
        <v>8</v>
      </c>
      <c r="S69" s="12">
        <f>COUNTIF(S5:S58,"B2")</f>
        <v>9</v>
      </c>
      <c r="T69" s="12">
        <f>COUNTIF(T5:T58,"B2")</f>
        <v>4</v>
      </c>
      <c r="U69" s="20">
        <f>SUM(Q69:T69)</f>
        <v>27</v>
      </c>
    </row>
    <row r="70" spans="15:21" ht="12" customHeight="1" x14ac:dyDescent="0.25">
      <c r="O70" s="16"/>
      <c r="P70" s="12"/>
      <c r="Q70" s="19" t="s">
        <v>4</v>
      </c>
      <c r="R70" s="19" t="s">
        <v>4</v>
      </c>
      <c r="S70" s="19" t="s">
        <v>4</v>
      </c>
      <c r="T70" s="19" t="s">
        <v>4</v>
      </c>
      <c r="U70" s="1"/>
    </row>
    <row r="71" spans="15:21" ht="12" customHeight="1" x14ac:dyDescent="0.25">
      <c r="O71" s="16"/>
      <c r="P71" s="12"/>
      <c r="Q71" s="12">
        <f>COUNTIF(Q5:Q58,"B3")</f>
        <v>8</v>
      </c>
      <c r="R71" s="12">
        <f>COUNTIF(R5:R58,"B3")</f>
        <v>6</v>
      </c>
      <c r="S71" s="12">
        <f>COUNTIF(S5:S58,"B3")</f>
        <v>6</v>
      </c>
      <c r="T71" s="12">
        <f>COUNTIF(T5:T58,"B3")</f>
        <v>7</v>
      </c>
      <c r="U71" s="20">
        <f>SUM(Q71:T71)</f>
        <v>27</v>
      </c>
    </row>
    <row r="72" spans="15:21" ht="12" customHeight="1" x14ac:dyDescent="0.25"/>
    <row r="73" spans="15:21" ht="12" customHeight="1" x14ac:dyDescent="0.25"/>
    <row r="74" spans="15:21" ht="12" customHeight="1" x14ac:dyDescent="0.25"/>
    <row r="75" spans="15:21" ht="12" customHeight="1" x14ac:dyDescent="0.25"/>
    <row r="76" spans="15:21" ht="12" customHeight="1" x14ac:dyDescent="0.25"/>
    <row r="77" spans="15:21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P19"/>
  <sheetViews>
    <sheetView workbookViewId="0">
      <selection activeCell="F2" sqref="F2:I19"/>
    </sheetView>
  </sheetViews>
  <sheetFormatPr defaultRowHeight="15" x14ac:dyDescent="0.25"/>
  <cols>
    <col min="4" max="10" width="9.140625" style="36"/>
  </cols>
  <sheetData>
    <row r="2" spans="3:16" x14ac:dyDescent="0.25">
      <c r="C2">
        <v>14</v>
      </c>
      <c r="D2" s="36" t="s">
        <v>66</v>
      </c>
      <c r="E2" s="37" t="s">
        <v>2</v>
      </c>
      <c r="F2" s="38" t="s">
        <v>5</v>
      </c>
      <c r="G2" s="38" t="s">
        <v>7</v>
      </c>
      <c r="H2" s="39" t="s">
        <v>1</v>
      </c>
      <c r="I2" s="38" t="s">
        <v>6</v>
      </c>
      <c r="J2" s="36">
        <v>3</v>
      </c>
      <c r="P2" t="s">
        <v>35</v>
      </c>
    </row>
    <row r="3" spans="3:16" x14ac:dyDescent="0.25">
      <c r="C3">
        <v>1</v>
      </c>
      <c r="D3" s="40" t="s">
        <v>69</v>
      </c>
      <c r="E3" s="41" t="s">
        <v>6</v>
      </c>
      <c r="F3" s="8" t="s">
        <v>3</v>
      </c>
      <c r="G3" s="8" t="s">
        <v>7</v>
      </c>
      <c r="H3" s="21" t="s">
        <v>4</v>
      </c>
      <c r="I3" s="8" t="s">
        <v>2</v>
      </c>
      <c r="J3" s="12">
        <v>3</v>
      </c>
    </row>
    <row r="4" spans="3:16" x14ac:dyDescent="0.25">
      <c r="C4">
        <v>2</v>
      </c>
      <c r="D4" s="36" t="s">
        <v>70</v>
      </c>
      <c r="E4" s="41" t="s">
        <v>1</v>
      </c>
      <c r="F4" s="8" t="s">
        <v>4</v>
      </c>
      <c r="G4" s="21" t="s">
        <v>2</v>
      </c>
      <c r="H4" s="8" t="s">
        <v>3</v>
      </c>
      <c r="I4" s="8" t="s">
        <v>7</v>
      </c>
      <c r="J4" s="12">
        <v>2</v>
      </c>
    </row>
    <row r="5" spans="3:16" x14ac:dyDescent="0.25">
      <c r="C5">
        <v>3</v>
      </c>
      <c r="D5" s="36" t="s">
        <v>70</v>
      </c>
      <c r="E5" s="41" t="s">
        <v>1</v>
      </c>
      <c r="F5" s="8" t="s">
        <v>3</v>
      </c>
      <c r="G5" s="8" t="s">
        <v>4</v>
      </c>
      <c r="H5" s="8" t="s">
        <v>7</v>
      </c>
      <c r="I5" s="21" t="s">
        <v>2</v>
      </c>
      <c r="J5" s="12">
        <v>4</v>
      </c>
    </row>
    <row r="6" spans="3:16" x14ac:dyDescent="0.25">
      <c r="C6">
        <v>4</v>
      </c>
      <c r="D6" s="36" t="s">
        <v>66</v>
      </c>
      <c r="E6" s="37" t="s">
        <v>2</v>
      </c>
      <c r="F6" s="38" t="s">
        <v>6</v>
      </c>
      <c r="G6" s="38" t="s">
        <v>5</v>
      </c>
      <c r="H6" s="39" t="s">
        <v>1</v>
      </c>
      <c r="I6" s="38" t="s">
        <v>7</v>
      </c>
      <c r="J6" s="36">
        <v>3</v>
      </c>
    </row>
    <row r="7" spans="3:16" x14ac:dyDescent="0.25">
      <c r="C7">
        <v>5</v>
      </c>
      <c r="D7" s="40" t="s">
        <v>71</v>
      </c>
      <c r="E7" s="41" t="s">
        <v>5</v>
      </c>
      <c r="F7" s="21" t="s">
        <v>3</v>
      </c>
      <c r="G7" s="8" t="s">
        <v>7</v>
      </c>
      <c r="H7" s="8" t="s">
        <v>4</v>
      </c>
      <c r="I7" s="8" t="s">
        <v>2</v>
      </c>
      <c r="J7" s="12">
        <v>1</v>
      </c>
    </row>
    <row r="8" spans="3:16" x14ac:dyDescent="0.25">
      <c r="C8">
        <v>6</v>
      </c>
      <c r="D8" s="36" t="s">
        <v>68</v>
      </c>
      <c r="E8" s="37" t="s">
        <v>3</v>
      </c>
      <c r="F8" s="38" t="s">
        <v>7</v>
      </c>
      <c r="G8" s="39" t="s">
        <v>5</v>
      </c>
      <c r="H8" s="38" t="s">
        <v>6</v>
      </c>
      <c r="I8" s="38" t="s">
        <v>1</v>
      </c>
      <c r="J8" s="36">
        <v>2</v>
      </c>
    </row>
    <row r="9" spans="3:16" x14ac:dyDescent="0.25">
      <c r="C9">
        <v>7</v>
      </c>
      <c r="D9" s="40" t="s">
        <v>69</v>
      </c>
      <c r="E9" s="41" t="s">
        <v>6</v>
      </c>
      <c r="F9" s="21" t="s">
        <v>4</v>
      </c>
      <c r="G9" s="8" t="s">
        <v>7</v>
      </c>
      <c r="H9" s="8" t="s">
        <v>2</v>
      </c>
      <c r="I9" s="8" t="s">
        <v>3</v>
      </c>
      <c r="J9" s="12">
        <v>1</v>
      </c>
    </row>
    <row r="10" spans="3:16" x14ac:dyDescent="0.25">
      <c r="C10">
        <v>8</v>
      </c>
      <c r="D10" s="36" t="s">
        <v>70</v>
      </c>
      <c r="E10" s="41" t="s">
        <v>1</v>
      </c>
      <c r="F10" s="8" t="s">
        <v>7</v>
      </c>
      <c r="G10" s="8" t="s">
        <v>2</v>
      </c>
      <c r="H10" s="21" t="s">
        <v>3</v>
      </c>
      <c r="I10" s="8" t="s">
        <v>4</v>
      </c>
      <c r="J10" s="12">
        <v>2</v>
      </c>
    </row>
    <row r="11" spans="3:16" x14ac:dyDescent="0.25">
      <c r="C11">
        <v>9</v>
      </c>
      <c r="D11" s="36" t="s">
        <v>67</v>
      </c>
      <c r="E11" s="42" t="s">
        <v>4</v>
      </c>
      <c r="F11" s="38" t="s">
        <v>5</v>
      </c>
      <c r="G11" s="39" t="s">
        <v>6</v>
      </c>
      <c r="H11" s="38" t="s">
        <v>1</v>
      </c>
      <c r="I11" s="38" t="s">
        <v>7</v>
      </c>
      <c r="J11" s="36">
        <v>2</v>
      </c>
    </row>
    <row r="12" spans="3:16" x14ac:dyDescent="0.25">
      <c r="C12">
        <v>10</v>
      </c>
      <c r="D12" s="36" t="s">
        <v>67</v>
      </c>
      <c r="E12" s="42" t="s">
        <v>4</v>
      </c>
      <c r="F12" s="39" t="s">
        <v>6</v>
      </c>
      <c r="G12" s="38" t="s">
        <v>1</v>
      </c>
      <c r="H12" s="38" t="s">
        <v>5</v>
      </c>
      <c r="I12" s="38" t="s">
        <v>7</v>
      </c>
      <c r="J12" s="36">
        <v>1</v>
      </c>
    </row>
    <row r="13" spans="3:16" x14ac:dyDescent="0.25">
      <c r="C13">
        <v>11</v>
      </c>
      <c r="D13" s="36" t="s">
        <v>68</v>
      </c>
      <c r="E13" s="42" t="s">
        <v>3</v>
      </c>
      <c r="F13" s="38" t="s">
        <v>6</v>
      </c>
      <c r="G13" s="38" t="s">
        <v>7</v>
      </c>
      <c r="H13" s="38" t="s">
        <v>1</v>
      </c>
      <c r="I13" s="39" t="s">
        <v>5</v>
      </c>
      <c r="J13" s="36">
        <v>4</v>
      </c>
    </row>
    <row r="14" spans="3:16" x14ac:dyDescent="0.25">
      <c r="C14">
        <v>12</v>
      </c>
      <c r="D14" s="40" t="s">
        <v>71</v>
      </c>
      <c r="E14" s="11" t="s">
        <v>5</v>
      </c>
      <c r="F14" s="8" t="s">
        <v>7</v>
      </c>
      <c r="G14" s="21" t="s">
        <v>3</v>
      </c>
      <c r="H14" s="8" t="s">
        <v>2</v>
      </c>
      <c r="I14" s="8" t="s">
        <v>4</v>
      </c>
      <c r="J14" s="12">
        <v>2</v>
      </c>
    </row>
    <row r="15" spans="3:16" x14ac:dyDescent="0.25">
      <c r="C15">
        <v>13</v>
      </c>
      <c r="D15" s="36" t="s">
        <v>66</v>
      </c>
      <c r="E15" s="42" t="s">
        <v>2</v>
      </c>
      <c r="F15" s="38" t="s">
        <v>7</v>
      </c>
      <c r="G15" s="39" t="s">
        <v>1</v>
      </c>
      <c r="H15" s="38" t="s">
        <v>6</v>
      </c>
      <c r="I15" s="38" t="s">
        <v>5</v>
      </c>
      <c r="J15" s="36">
        <v>2</v>
      </c>
    </row>
    <row r="16" spans="3:16" x14ac:dyDescent="0.25">
      <c r="C16">
        <v>15</v>
      </c>
      <c r="D16" s="36" t="s">
        <v>68</v>
      </c>
      <c r="E16" s="42" t="s">
        <v>3</v>
      </c>
      <c r="F16" s="38" t="s">
        <v>7</v>
      </c>
      <c r="G16" s="38" t="s">
        <v>1</v>
      </c>
      <c r="H16" s="39" t="s">
        <v>5</v>
      </c>
      <c r="I16" s="38" t="s">
        <v>6</v>
      </c>
      <c r="J16" s="36">
        <v>3</v>
      </c>
    </row>
    <row r="17" spans="3:10" x14ac:dyDescent="0.25">
      <c r="C17">
        <v>16</v>
      </c>
      <c r="D17" s="40" t="s">
        <v>71</v>
      </c>
      <c r="E17" s="11" t="s">
        <v>5</v>
      </c>
      <c r="F17" s="8" t="s">
        <v>4</v>
      </c>
      <c r="G17" s="21" t="s">
        <v>3</v>
      </c>
      <c r="H17" s="8" t="s">
        <v>2</v>
      </c>
      <c r="I17" s="8" t="s">
        <v>7</v>
      </c>
      <c r="J17" s="12">
        <v>2</v>
      </c>
    </row>
    <row r="18" spans="3:10" x14ac:dyDescent="0.25">
      <c r="C18">
        <v>17</v>
      </c>
      <c r="D18" s="40" t="s">
        <v>69</v>
      </c>
      <c r="E18" s="11" t="s">
        <v>6</v>
      </c>
      <c r="F18" s="8" t="s">
        <v>3</v>
      </c>
      <c r="G18" s="8" t="s">
        <v>2</v>
      </c>
      <c r="H18" s="21" t="s">
        <v>4</v>
      </c>
      <c r="I18" s="8" t="s">
        <v>7</v>
      </c>
      <c r="J18" s="12">
        <v>3</v>
      </c>
    </row>
    <row r="19" spans="3:10" x14ac:dyDescent="0.25">
      <c r="C19">
        <v>18</v>
      </c>
      <c r="D19" s="36" t="s">
        <v>67</v>
      </c>
      <c r="E19" s="42" t="s">
        <v>4</v>
      </c>
      <c r="F19" s="38" t="s">
        <v>1</v>
      </c>
      <c r="G19" s="38" t="s">
        <v>7</v>
      </c>
      <c r="H19" s="38" t="s">
        <v>5</v>
      </c>
      <c r="I19" s="39" t="s">
        <v>6</v>
      </c>
      <c r="J19" s="36">
        <v>4</v>
      </c>
    </row>
  </sheetData>
  <sortState ref="C3:J19">
    <sortCondition ref="C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Plan3</vt:lpstr>
      <vt:lpstr>Plan2</vt:lpstr>
      <vt:lpstr>TesteCA,AC 1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2019-01-26T16:20:02Z</dcterms:modified>
</cp:coreProperties>
</file>