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esteBA,AB" sheetId="16" r:id="rId3"/>
    <sheet name="Treino BA" sheetId="9" r:id="rId4"/>
    <sheet name="Treino CA" sheetId="17" r:id="rId5"/>
    <sheet name="Treino CABA 50" sheetId="21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5" i="21" l="1"/>
  <c r="S35" i="21"/>
  <c r="R35" i="21"/>
  <c r="Q35" i="21"/>
  <c r="T33" i="21"/>
  <c r="S33" i="21"/>
  <c r="R33" i="21"/>
  <c r="Q33" i="21"/>
  <c r="T31" i="21"/>
  <c r="S31" i="21"/>
  <c r="R31" i="21"/>
  <c r="Q31" i="21"/>
  <c r="T29" i="21"/>
  <c r="S29" i="21"/>
  <c r="R29" i="21"/>
  <c r="Q29" i="21"/>
  <c r="T27" i="21"/>
  <c r="S27" i="21"/>
  <c r="R27" i="21"/>
  <c r="Q27" i="21"/>
  <c r="P29" i="21"/>
  <c r="T25" i="21"/>
  <c r="S25" i="21"/>
  <c r="R25" i="21"/>
  <c r="Q25" i="21"/>
  <c r="P24" i="21"/>
  <c r="U27" i="21" l="1"/>
  <c r="U31" i="21"/>
  <c r="U35" i="21"/>
  <c r="U29" i="21"/>
  <c r="U33" i="21"/>
  <c r="U25" i="21"/>
  <c r="P28" i="21"/>
  <c r="P25" i="21"/>
  <c r="P27" i="21"/>
  <c r="P26" i="21"/>
  <c r="C49" i="16"/>
  <c r="R35" i="17"/>
  <c r="S35" i="17"/>
  <c r="T35" i="17"/>
  <c r="Q35" i="17"/>
  <c r="R33" i="17"/>
  <c r="S33" i="17"/>
  <c r="T33" i="17"/>
  <c r="Q33" i="17"/>
  <c r="R31" i="17"/>
  <c r="S31" i="17"/>
  <c r="T31" i="17"/>
  <c r="Q31" i="17"/>
  <c r="R29" i="17"/>
  <c r="S29" i="17"/>
  <c r="T29" i="17"/>
  <c r="Q29" i="17"/>
  <c r="R27" i="17"/>
  <c r="S27" i="17"/>
  <c r="T27" i="17"/>
  <c r="Q27" i="17"/>
  <c r="R25" i="17"/>
  <c r="S25" i="17"/>
  <c r="T25" i="17"/>
  <c r="Q25" i="17"/>
  <c r="P29" i="17"/>
  <c r="P28" i="17"/>
  <c r="P27" i="17"/>
  <c r="P26" i="17"/>
  <c r="P25" i="17"/>
  <c r="P24" i="17"/>
  <c r="U35" i="17" l="1"/>
  <c r="B29" i="17"/>
  <c r="F38" i="17"/>
  <c r="E38" i="17"/>
  <c r="D38" i="17"/>
  <c r="C38" i="17"/>
  <c r="F36" i="17"/>
  <c r="E36" i="17"/>
  <c r="D36" i="17"/>
  <c r="C36" i="17"/>
  <c r="B32" i="17"/>
  <c r="B31" i="17"/>
  <c r="B30" i="17"/>
  <c r="B28" i="17"/>
  <c r="B27" i="17"/>
  <c r="F34" i="17"/>
  <c r="E34" i="17"/>
  <c r="D34" i="17"/>
  <c r="C34" i="17"/>
  <c r="F32" i="17"/>
  <c r="E32" i="17"/>
  <c r="D32" i="17"/>
  <c r="C32" i="17"/>
  <c r="F30" i="17"/>
  <c r="E30" i="17"/>
  <c r="D30" i="17"/>
  <c r="C30" i="17"/>
  <c r="F28" i="17"/>
  <c r="E28" i="17"/>
  <c r="D28" i="17"/>
  <c r="C28" i="17"/>
  <c r="G34" i="17" l="1"/>
  <c r="U25" i="17"/>
  <c r="U27" i="17"/>
  <c r="G28" i="17"/>
  <c r="U29" i="17"/>
  <c r="G30" i="17"/>
  <c r="G32" i="17"/>
  <c r="U31" i="17"/>
  <c r="U33" i="17"/>
  <c r="G36" i="17"/>
  <c r="G38" i="17"/>
  <c r="T71" i="16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O52" i="16" s="1"/>
  <c r="O53" i="16" s="1"/>
  <c r="O54" i="16" s="1"/>
  <c r="O55" i="16" s="1"/>
  <c r="O56" i="16" s="1"/>
  <c r="O57" i="16" s="1"/>
  <c r="O58" i="16" s="1"/>
  <c r="F53" i="16"/>
  <c r="E53" i="16"/>
  <c r="D53" i="16"/>
  <c r="C53" i="16"/>
  <c r="F51" i="16"/>
  <c r="E51" i="16"/>
  <c r="D51" i="16"/>
  <c r="C51" i="16"/>
  <c r="F49" i="16"/>
  <c r="E49" i="16"/>
  <c r="D49" i="16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U61" i="16" l="1"/>
  <c r="U65" i="16"/>
  <c r="U67" i="16"/>
  <c r="U69" i="16"/>
  <c r="U71" i="16"/>
  <c r="G43" i="16"/>
  <c r="G47" i="16"/>
  <c r="G49" i="16"/>
  <c r="G51" i="16"/>
  <c r="G53" i="16"/>
  <c r="G45" i="16"/>
  <c r="U63" i="16"/>
  <c r="R35" i="9"/>
  <c r="S35" i="9"/>
  <c r="T35" i="9"/>
  <c r="Q35" i="9"/>
  <c r="R33" i="9"/>
  <c r="S33" i="9"/>
  <c r="T33" i="9"/>
  <c r="Q33" i="9"/>
  <c r="R31" i="9"/>
  <c r="S31" i="9"/>
  <c r="T31" i="9"/>
  <c r="Q31" i="9"/>
  <c r="R29" i="9"/>
  <c r="S29" i="9"/>
  <c r="T29" i="9"/>
  <c r="Q29" i="9"/>
  <c r="R27" i="9"/>
  <c r="S27" i="9"/>
  <c r="T27" i="9"/>
  <c r="Q27" i="9"/>
  <c r="R25" i="9"/>
  <c r="S25" i="9"/>
  <c r="T25" i="9"/>
  <c r="Q25" i="9"/>
  <c r="D38" i="9"/>
  <c r="E38" i="9"/>
  <c r="F38" i="9"/>
  <c r="C38" i="9"/>
  <c r="D36" i="9"/>
  <c r="E36" i="9"/>
  <c r="F36" i="9"/>
  <c r="C36" i="9"/>
  <c r="D34" i="9"/>
  <c r="E34" i="9"/>
  <c r="F34" i="9"/>
  <c r="C34" i="9"/>
  <c r="D32" i="9"/>
  <c r="E32" i="9"/>
  <c r="F32" i="9"/>
  <c r="C32" i="9"/>
  <c r="D30" i="9"/>
  <c r="E30" i="9"/>
  <c r="F30" i="9"/>
  <c r="C30" i="9"/>
  <c r="D28" i="9"/>
  <c r="E28" i="9"/>
  <c r="F28" i="9"/>
  <c r="C28" i="9"/>
  <c r="B32" i="9"/>
  <c r="B31" i="9"/>
  <c r="B30" i="9"/>
  <c r="B29" i="9"/>
  <c r="B28" i="9"/>
  <c r="B27" i="9"/>
  <c r="U25" i="9" l="1"/>
  <c r="U27" i="9"/>
  <c r="U29" i="9"/>
  <c r="U33" i="9"/>
  <c r="U35" i="9"/>
  <c r="U31" i="9"/>
  <c r="G38" i="9"/>
  <c r="G34" i="9"/>
  <c r="G36" i="9"/>
  <c r="G30" i="9"/>
  <c r="G32" i="9"/>
  <c r="P26" i="9" l="1"/>
  <c r="P29" i="9"/>
  <c r="P25" i="9"/>
  <c r="P28" i="9"/>
  <c r="P24" i="9"/>
  <c r="P27" i="9"/>
  <c r="G28" i="9"/>
</calcChain>
</file>

<file path=xl/sharedStrings.xml><?xml version="1.0" encoding="utf-8"?>
<sst xmlns="http://schemas.openxmlformats.org/spreadsheetml/2006/main" count="1996" uniqueCount="92">
  <si>
    <t>Janelas</t>
  </si>
  <si>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</si>
  <si>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</si>
  <si>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</si>
  <si>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</si>
  <si>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</si>
  <si>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</si>
  <si>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</si>
  <si>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</si>
  <si>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</si>
  <si>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</si>
  <si>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</si>
  <si>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</si>
  <si>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</si>
  <si>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</si>
  <si>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</si>
  <si>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</si>
  <si>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TreinoBA (50% reforçamento)</t>
  </si>
  <si>
    <t>TreinoBA (100% reforçamento)</t>
  </si>
  <si>
    <t>S</t>
  </si>
  <si>
    <t>C1</t>
  </si>
  <si>
    <t>C2</t>
  </si>
  <si>
    <t>C3</t>
  </si>
  <si>
    <t>TreinoCA (100% reforçamento)</t>
  </si>
  <si>
    <t>TreinoCA (50% reforçamento)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</si>
  <si>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</si>
  <si>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</si>
  <si>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</si>
  <si>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</si>
  <si>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</si>
  <si>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</si>
  <si>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</si>
  <si>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</si>
  <si>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</si>
  <si>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</si>
  <si>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</si>
  <si>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</si>
  <si>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</si>
  <si>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</si>
  <si>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</si>
  <si>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</si>
  <si>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</si>
  <si>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</si>
  <si>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</si>
  <si>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</si>
  <si>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</si>
  <si>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</si>
  <si>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</si>
  <si>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</si>
  <si>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</si>
  <si>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</si>
  <si>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</si>
  <si>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</si>
  <si>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</si>
  <si>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</si>
  <si>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</si>
  <si>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</si>
  <si>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</si>
  <si>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</si>
  <si>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</si>
  <si>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</si>
  <si>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</si>
  <si>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</si>
  <si>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</si>
  <si>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C1A1</t>
  </si>
  <si>
    <t>C2A2</t>
  </si>
  <si>
    <t>C3A3</t>
  </si>
  <si>
    <t>B1A1</t>
  </si>
  <si>
    <t>B2A2</t>
  </si>
  <si>
    <t>B3A3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</si>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</sst>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7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left"/>
    </xf>
    <xf numFmtId="0" fontId="0" fillId="0" borderId="0" xfId="0" applyFont="1" applyFill="1"/>
    <xf numFmtId="0" fontId="0" fillId="3" borderId="0" xfId="0" applyFill="1" applyBorder="1" applyAlignment="1">
      <alignment horizontal="left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49" fontId="0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"/>
  <sheetViews>
    <sheetView tabSelected="1" topLeftCell="A16" zoomScale="90" zoomScaleNormal="90" workbookViewId="0">
      <selection activeCell="J26" sqref="J26"/>
    </sheetView>
  </sheetViews>
  <sheetFormatPr defaultRowHeight="15" x14ac:dyDescent="0.25"/>
  <cols>
    <col min="1" max="1" width="8.28515625" style="49" customWidth="1"/>
    <col min="2" max="2" width="10.28515625" style="6" customWidth="1"/>
    <col min="3" max="3" width="31.5703125" style="41" customWidth="1"/>
    <col min="4" max="7" width="31.5703125" style="4" customWidth="1"/>
    <col min="8" max="11" width="8.7109375" style="41" customWidth="1"/>
    <col min="12" max="12" width="19.42578125" style="41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47" t="s">
        <v>25</v>
      </c>
      <c r="B1" s="42" t="s">
        <v>26</v>
      </c>
      <c r="C1" s="42" t="s">
        <v>27</v>
      </c>
      <c r="D1" s="42" t="s">
        <v>28</v>
      </c>
      <c r="E1" s="42" t="s">
        <v>29</v>
      </c>
      <c r="F1" s="53" t="s">
        <v>30</v>
      </c>
      <c r="G1" s="53" t="s">
        <v>31</v>
      </c>
      <c r="H1" s="42" t="s">
        <v>32</v>
      </c>
      <c r="I1" s="42" t="s">
        <v>33</v>
      </c>
      <c r="J1" s="43" t="s">
        <v>34</v>
      </c>
      <c r="K1" s="43" t="s">
        <v>35</v>
      </c>
      <c r="L1" s="43" t="s">
        <v>36</v>
      </c>
      <c r="M1" s="43" t="s">
        <v>37</v>
      </c>
      <c r="N1" s="43" t="s">
        <v>38</v>
      </c>
    </row>
    <row r="2" spans="1:14" s="45" customFormat="1" x14ac:dyDescent="0.25">
      <c r="A2" s="48" t="s">
        <v>47</v>
      </c>
      <c r="B2" s="55"/>
      <c r="C2" s="44"/>
      <c r="D2" s="44"/>
      <c r="E2" s="44"/>
      <c r="F2" s="44"/>
      <c r="G2" s="44"/>
      <c r="H2" s="44"/>
      <c r="I2" s="44"/>
      <c r="J2" s="10"/>
      <c r="K2" s="10"/>
      <c r="L2" s="10"/>
      <c r="M2" s="10"/>
      <c r="N2" s="10"/>
    </row>
    <row r="3" spans="1:14" x14ac:dyDescent="0.25">
      <c r="A3" s="65" t="s">
        <v>46</v>
      </c>
      <c r="B3" s="5" t="s">
        <v>69</v>
      </c>
      <c r="C3" s="29" t="s">
        <v>44</v>
      </c>
      <c r="D3" s="3" t="s">
        <v>41</v>
      </c>
      <c r="E3" s="3" t="s">
        <v>40</v>
      </c>
      <c r="F3" s="3" t="s">
        <v>42</v>
      </c>
      <c r="G3" s="3" t="s">
        <v>45</v>
      </c>
      <c r="H3" s="52">
        <v>0</v>
      </c>
      <c r="I3" s="52">
        <v>4</v>
      </c>
      <c r="J3" s="35"/>
      <c r="M3" s="41"/>
      <c r="N3" s="41"/>
    </row>
    <row r="4" spans="1:14" x14ac:dyDescent="0.25">
      <c r="A4" s="65" t="s">
        <v>48</v>
      </c>
      <c r="B4" s="5" t="s">
        <v>69</v>
      </c>
      <c r="C4" s="29" t="s">
        <v>44</v>
      </c>
      <c r="D4" s="3" t="s">
        <v>42</v>
      </c>
      <c r="E4" s="3" t="s">
        <v>45</v>
      </c>
      <c r="F4" s="3" t="s">
        <v>41</v>
      </c>
      <c r="G4" s="3" t="s">
        <v>40</v>
      </c>
      <c r="H4" s="52">
        <v>1</v>
      </c>
      <c r="I4" s="52">
        <v>1</v>
      </c>
      <c r="J4" s="29"/>
      <c r="M4" s="41"/>
      <c r="N4" s="41"/>
    </row>
    <row r="5" spans="1:14" x14ac:dyDescent="0.25">
      <c r="A5" s="65" t="s">
        <v>49</v>
      </c>
      <c r="B5" s="5" t="s">
        <v>66</v>
      </c>
      <c r="C5" s="29" t="s">
        <v>63</v>
      </c>
      <c r="D5" s="3" t="s">
        <v>45</v>
      </c>
      <c r="E5" s="3" t="s">
        <v>42</v>
      </c>
      <c r="F5" s="3" t="s">
        <v>41</v>
      </c>
      <c r="G5" s="3" t="s">
        <v>40</v>
      </c>
      <c r="H5" s="52">
        <v>1</v>
      </c>
      <c r="I5" s="52">
        <v>2</v>
      </c>
      <c r="J5" s="29"/>
      <c r="M5" s="41"/>
      <c r="N5" s="41"/>
    </row>
    <row r="6" spans="1:14" x14ac:dyDescent="0.25">
      <c r="A6" s="65" t="s">
        <v>50</v>
      </c>
      <c r="B6" s="5" t="s">
        <v>64</v>
      </c>
      <c r="C6" s="29" t="s">
        <v>61</v>
      </c>
      <c r="D6" s="3" t="s">
        <v>45</v>
      </c>
      <c r="E6" s="3" t="s">
        <v>41</v>
      </c>
      <c r="F6" s="3" t="s">
        <v>42</v>
      </c>
      <c r="G6" s="3" t="s">
        <v>40</v>
      </c>
      <c r="H6" s="52">
        <v>0</v>
      </c>
      <c r="I6" s="52">
        <v>3</v>
      </c>
      <c r="J6" s="29"/>
      <c r="M6" s="41"/>
      <c r="N6" s="41"/>
    </row>
    <row r="7" spans="1:14" x14ac:dyDescent="0.25">
      <c r="A7" s="65" t="s">
        <v>51</v>
      </c>
      <c r="B7" s="5" t="s">
        <v>68</v>
      </c>
      <c r="C7" s="29" t="s">
        <v>43</v>
      </c>
      <c r="D7" s="3" t="s">
        <v>40</v>
      </c>
      <c r="E7" s="3" t="s">
        <v>42</v>
      </c>
      <c r="F7" s="3" t="s">
        <v>45</v>
      </c>
      <c r="G7" s="3" t="s">
        <v>41</v>
      </c>
      <c r="H7" s="52">
        <v>0</v>
      </c>
      <c r="I7" s="52">
        <v>3</v>
      </c>
      <c r="J7" s="29"/>
      <c r="M7" s="41"/>
      <c r="N7" s="41"/>
    </row>
    <row r="8" spans="1:14" x14ac:dyDescent="0.25">
      <c r="A8" s="65" t="s">
        <v>52</v>
      </c>
      <c r="B8" s="5" t="s">
        <v>68</v>
      </c>
      <c r="C8" s="29" t="s">
        <v>43</v>
      </c>
      <c r="D8" s="3" t="s">
        <v>45</v>
      </c>
      <c r="E8" s="3" t="s">
        <v>40</v>
      </c>
      <c r="F8" s="3" t="s">
        <v>42</v>
      </c>
      <c r="G8" s="3" t="s">
        <v>41</v>
      </c>
      <c r="H8" s="52">
        <v>1</v>
      </c>
      <c r="I8" s="52">
        <v>3</v>
      </c>
      <c r="J8" s="29"/>
      <c r="M8" s="41"/>
      <c r="N8" s="41"/>
    </row>
    <row r="9" spans="1:14" ht="14.25" customHeight="1" x14ac:dyDescent="0.25">
      <c r="A9" s="65" t="s">
        <v>53</v>
      </c>
      <c r="B9" s="5" t="s">
        <v>66</v>
      </c>
      <c r="C9" s="29" t="s">
        <v>63</v>
      </c>
      <c r="D9" s="3" t="s">
        <v>41</v>
      </c>
      <c r="E9" s="3" t="s">
        <v>40</v>
      </c>
      <c r="F9" s="3" t="s">
        <v>42</v>
      </c>
      <c r="G9" s="3" t="s">
        <v>45</v>
      </c>
      <c r="H9" s="52">
        <v>0</v>
      </c>
      <c r="I9" s="52">
        <v>4</v>
      </c>
      <c r="J9" s="29"/>
      <c r="M9" s="41"/>
      <c r="N9" s="41"/>
    </row>
    <row r="10" spans="1:14" x14ac:dyDescent="0.25">
      <c r="A10" s="65" t="s">
        <v>54</v>
      </c>
      <c r="B10" s="5" t="s">
        <v>67</v>
      </c>
      <c r="C10" s="29" t="s">
        <v>39</v>
      </c>
      <c r="D10" s="3" t="s">
        <v>41</v>
      </c>
      <c r="E10" s="3" t="s">
        <v>42</v>
      </c>
      <c r="F10" s="3" t="s">
        <v>40</v>
      </c>
      <c r="G10" s="3" t="s">
        <v>45</v>
      </c>
      <c r="H10" s="52">
        <v>1</v>
      </c>
      <c r="I10" s="52">
        <v>4</v>
      </c>
      <c r="J10" s="29"/>
      <c r="M10" s="41"/>
      <c r="N10" s="41"/>
    </row>
    <row r="11" spans="1:14" x14ac:dyDescent="0.25">
      <c r="A11" s="65" t="s">
        <v>55</v>
      </c>
      <c r="B11" s="5" t="s">
        <v>65</v>
      </c>
      <c r="C11" s="29" t="s">
        <v>62</v>
      </c>
      <c r="D11" s="3" t="s">
        <v>41</v>
      </c>
      <c r="E11" s="3" t="s">
        <v>42</v>
      </c>
      <c r="F11" s="3" t="s">
        <v>40</v>
      </c>
      <c r="G11" s="3" t="s">
        <v>45</v>
      </c>
      <c r="H11" s="52">
        <v>0</v>
      </c>
      <c r="I11" s="52">
        <v>1</v>
      </c>
      <c r="J11" s="29"/>
      <c r="M11" s="41"/>
      <c r="N11" s="41"/>
    </row>
    <row r="12" spans="1:14" x14ac:dyDescent="0.25">
      <c r="A12" s="65" t="s">
        <v>56</v>
      </c>
      <c r="B12" s="5" t="s">
        <v>67</v>
      </c>
      <c r="C12" s="29" t="s">
        <v>39</v>
      </c>
      <c r="D12" s="3" t="s">
        <v>45</v>
      </c>
      <c r="E12" s="3" t="s">
        <v>41</v>
      </c>
      <c r="F12" s="3" t="s">
        <v>42</v>
      </c>
      <c r="G12" s="3" t="s">
        <v>40</v>
      </c>
      <c r="H12" s="52">
        <v>0</v>
      </c>
      <c r="I12" s="52">
        <v>3</v>
      </c>
      <c r="J12" s="29"/>
      <c r="M12" s="41"/>
      <c r="N12" s="41"/>
    </row>
    <row r="13" spans="1:14" x14ac:dyDescent="0.25">
      <c r="A13" s="65" t="s">
        <v>57</v>
      </c>
      <c r="B13" s="5" t="s">
        <v>67</v>
      </c>
      <c r="C13" s="29" t="s">
        <v>39</v>
      </c>
      <c r="D13" s="3" t="s">
        <v>41</v>
      </c>
      <c r="E13" s="3" t="s">
        <v>45</v>
      </c>
      <c r="F13" s="3" t="s">
        <v>42</v>
      </c>
      <c r="G13" s="3" t="s">
        <v>40</v>
      </c>
      <c r="H13" s="52">
        <v>1</v>
      </c>
      <c r="I13" s="52">
        <v>3</v>
      </c>
      <c r="J13" s="29"/>
      <c r="M13" s="41"/>
      <c r="N13" s="41"/>
    </row>
    <row r="14" spans="1:14" x14ac:dyDescent="0.25">
      <c r="A14" s="65" t="s">
        <v>58</v>
      </c>
      <c r="B14" s="5" t="s">
        <v>69</v>
      </c>
      <c r="C14" s="29" t="s">
        <v>44</v>
      </c>
      <c r="D14" s="3" t="s">
        <v>45</v>
      </c>
      <c r="E14" s="3" t="s">
        <v>42</v>
      </c>
      <c r="F14" s="3" t="s">
        <v>41</v>
      </c>
      <c r="G14" s="3" t="s">
        <v>40</v>
      </c>
      <c r="H14" s="52">
        <v>0</v>
      </c>
      <c r="I14" s="52">
        <v>2</v>
      </c>
      <c r="J14" s="29"/>
      <c r="M14" s="41"/>
      <c r="N14" s="41"/>
    </row>
    <row r="15" spans="1:14" x14ac:dyDescent="0.25">
      <c r="A15" s="65" t="s">
        <v>59</v>
      </c>
      <c r="B15" s="5" t="s">
        <v>65</v>
      </c>
      <c r="C15" s="29" t="s">
        <v>62</v>
      </c>
      <c r="D15" s="3" t="s">
        <v>42</v>
      </c>
      <c r="E15" s="3" t="s">
        <v>40</v>
      </c>
      <c r="F15" s="3" t="s">
        <v>45</v>
      </c>
      <c r="G15" s="3" t="s">
        <v>41</v>
      </c>
      <c r="H15" s="52">
        <v>0</v>
      </c>
      <c r="I15" s="52">
        <v>3</v>
      </c>
      <c r="J15" s="29"/>
      <c r="M15" s="41"/>
      <c r="N15" s="41"/>
    </row>
    <row r="16" spans="1:14" x14ac:dyDescent="0.25">
      <c r="A16" s="65" t="s">
        <v>60</v>
      </c>
      <c r="B16" s="5" t="s">
        <v>65</v>
      </c>
      <c r="C16" s="29" t="s">
        <v>62</v>
      </c>
      <c r="D16" s="3" t="s">
        <v>40</v>
      </c>
      <c r="E16" s="3" t="s">
        <v>42</v>
      </c>
      <c r="F16" s="3" t="s">
        <v>45</v>
      </c>
      <c r="G16" s="3" t="s">
        <v>41</v>
      </c>
      <c r="H16" s="52">
        <v>1</v>
      </c>
      <c r="I16" s="52">
        <v>3</v>
      </c>
      <c r="J16" s="29"/>
      <c r="M16" s="41"/>
      <c r="N16" s="41"/>
    </row>
    <row r="17" spans="1:14" x14ac:dyDescent="0.25">
      <c r="A17" s="65" t="s">
        <v>70</v>
      </c>
      <c r="B17" s="5" t="s">
        <v>67</v>
      </c>
      <c r="C17" s="29" t="s">
        <v>39</v>
      </c>
      <c r="D17" s="3" t="s">
        <v>42</v>
      </c>
      <c r="E17" s="3" t="s">
        <v>41</v>
      </c>
      <c r="F17" s="3" t="s">
        <v>40</v>
      </c>
      <c r="G17" s="3" t="s">
        <v>45</v>
      </c>
      <c r="H17" s="52">
        <v>0</v>
      </c>
      <c r="I17" s="52">
        <v>4</v>
      </c>
      <c r="J17" s="29"/>
      <c r="M17" s="41"/>
      <c r="N17" s="41"/>
    </row>
    <row r="18" spans="1:14" x14ac:dyDescent="0.25">
      <c r="A18" s="65" t="s">
        <v>71</v>
      </c>
      <c r="B18" s="5" t="s">
        <v>64</v>
      </c>
      <c r="C18" s="29" t="s">
        <v>61</v>
      </c>
      <c r="D18" s="3" t="s">
        <v>42</v>
      </c>
      <c r="E18" s="3" t="s">
        <v>41</v>
      </c>
      <c r="F18" s="3" t="s">
        <v>40</v>
      </c>
      <c r="G18" s="3" t="s">
        <v>45</v>
      </c>
      <c r="H18" s="52">
        <v>1</v>
      </c>
      <c r="I18" s="52">
        <v>4</v>
      </c>
      <c r="J18" s="29"/>
      <c r="M18" s="41"/>
      <c r="N18" s="41"/>
    </row>
    <row r="19" spans="1:14" x14ac:dyDescent="0.25">
      <c r="A19" s="65" t="s">
        <v>72</v>
      </c>
      <c r="B19" s="5" t="s">
        <v>69</v>
      </c>
      <c r="C19" s="29" t="s">
        <v>44</v>
      </c>
      <c r="D19" s="3" t="s">
        <v>45</v>
      </c>
      <c r="E19" s="3" t="s">
        <v>40</v>
      </c>
      <c r="F19" s="3" t="s">
        <v>42</v>
      </c>
      <c r="G19" s="3" t="s">
        <v>41</v>
      </c>
      <c r="H19" s="52">
        <v>1</v>
      </c>
      <c r="I19" s="52">
        <v>4</v>
      </c>
      <c r="J19" s="29"/>
    </row>
    <row r="20" spans="1:14" x14ac:dyDescent="0.25">
      <c r="A20" s="65" t="s">
        <v>73</v>
      </c>
      <c r="B20" s="5" t="s">
        <v>64</v>
      </c>
      <c r="C20" s="29" t="s">
        <v>61</v>
      </c>
      <c r="D20" s="3" t="s">
        <v>41</v>
      </c>
      <c r="E20" s="3" t="s">
        <v>40</v>
      </c>
      <c r="F20" s="3" t="s">
        <v>45</v>
      </c>
      <c r="G20" s="3" t="s">
        <v>42</v>
      </c>
      <c r="H20" s="52">
        <v>0</v>
      </c>
      <c r="I20" s="52">
        <v>2</v>
      </c>
      <c r="J20" s="29"/>
    </row>
    <row r="21" spans="1:14" x14ac:dyDescent="0.25">
      <c r="A21" s="65" t="s">
        <v>74</v>
      </c>
      <c r="B21" s="5" t="s">
        <v>66</v>
      </c>
      <c r="C21" s="29" t="s">
        <v>63</v>
      </c>
      <c r="D21" s="3" t="s">
        <v>45</v>
      </c>
      <c r="E21" s="3" t="s">
        <v>40</v>
      </c>
      <c r="F21" s="3" t="s">
        <v>42</v>
      </c>
      <c r="G21" s="3" t="s">
        <v>41</v>
      </c>
      <c r="H21" s="52">
        <v>0</v>
      </c>
      <c r="I21" s="52">
        <v>4</v>
      </c>
      <c r="J21" s="29"/>
    </row>
    <row r="22" spans="1:14" x14ac:dyDescent="0.25">
      <c r="A22" s="65" t="s">
        <v>75</v>
      </c>
      <c r="B22" s="5" t="s">
        <v>67</v>
      </c>
      <c r="C22" s="29" t="s">
        <v>39</v>
      </c>
      <c r="D22" s="3" t="s">
        <v>41</v>
      </c>
      <c r="E22" s="3" t="s">
        <v>40</v>
      </c>
      <c r="F22" s="3" t="s">
        <v>45</v>
      </c>
      <c r="G22" s="3" t="s">
        <v>42</v>
      </c>
      <c r="H22" s="52">
        <v>0</v>
      </c>
      <c r="I22" s="52">
        <v>2</v>
      </c>
      <c r="J22" s="29"/>
    </row>
    <row r="23" spans="1:14" x14ac:dyDescent="0.25">
      <c r="A23" s="65" t="s">
        <v>76</v>
      </c>
      <c r="B23" s="5" t="s">
        <v>68</v>
      </c>
      <c r="C23" s="29" t="s">
        <v>43</v>
      </c>
      <c r="D23" s="3" t="s">
        <v>42</v>
      </c>
      <c r="E23" s="3" t="s">
        <v>40</v>
      </c>
      <c r="F23" s="3" t="s">
        <v>45</v>
      </c>
      <c r="G23" s="3" t="s">
        <v>41</v>
      </c>
      <c r="H23" s="52">
        <v>0</v>
      </c>
      <c r="I23" s="52">
        <v>3</v>
      </c>
      <c r="J23" s="29"/>
    </row>
    <row r="24" spans="1:14" x14ac:dyDescent="0.25">
      <c r="A24" s="65" t="s">
        <v>77</v>
      </c>
      <c r="B24" s="5" t="s">
        <v>64</v>
      </c>
      <c r="C24" s="29" t="s">
        <v>61</v>
      </c>
      <c r="D24" s="3" t="s">
        <v>42</v>
      </c>
      <c r="E24" s="3" t="s">
        <v>45</v>
      </c>
      <c r="F24" s="3" t="s">
        <v>41</v>
      </c>
      <c r="G24" s="3" t="s">
        <v>40</v>
      </c>
      <c r="H24" s="52">
        <v>1</v>
      </c>
      <c r="I24" s="52">
        <v>3</v>
      </c>
      <c r="J24" s="29"/>
    </row>
    <row r="25" spans="1:14" x14ac:dyDescent="0.25">
      <c r="A25" s="65" t="s">
        <v>78</v>
      </c>
      <c r="B25" s="5" t="s">
        <v>69</v>
      </c>
      <c r="C25" s="29" t="s">
        <v>44</v>
      </c>
      <c r="D25" s="3" t="s">
        <v>42</v>
      </c>
      <c r="E25" s="3" t="s">
        <v>45</v>
      </c>
      <c r="F25" s="3" t="s">
        <v>40</v>
      </c>
      <c r="G25" s="3" t="s">
        <v>41</v>
      </c>
      <c r="H25" s="52">
        <v>1</v>
      </c>
      <c r="I25" s="52">
        <v>1</v>
      </c>
      <c r="J25" s="29"/>
    </row>
    <row r="26" spans="1:14" x14ac:dyDescent="0.25">
      <c r="A26" s="65" t="s">
        <v>79</v>
      </c>
      <c r="B26" s="5" t="s">
        <v>66</v>
      </c>
      <c r="C26" s="29" t="s">
        <v>63</v>
      </c>
      <c r="D26" s="3" t="s">
        <v>42</v>
      </c>
      <c r="E26" s="3" t="s">
        <v>45</v>
      </c>
      <c r="F26" s="3" t="s">
        <v>41</v>
      </c>
      <c r="G26" s="3" t="s">
        <v>40</v>
      </c>
      <c r="H26" s="52">
        <v>1</v>
      </c>
      <c r="I26" s="52">
        <v>1</v>
      </c>
      <c r="J26" s="29"/>
    </row>
    <row r="27" spans="1:14" x14ac:dyDescent="0.25">
      <c r="A27" s="65" t="s">
        <v>80</v>
      </c>
      <c r="B27" s="5" t="s">
        <v>66</v>
      </c>
      <c r="C27" s="29" t="s">
        <v>63</v>
      </c>
      <c r="D27" s="3" t="s">
        <v>42</v>
      </c>
      <c r="E27" s="3" t="s">
        <v>45</v>
      </c>
      <c r="F27" s="3" t="s">
        <v>40</v>
      </c>
      <c r="G27" s="3" t="s">
        <v>41</v>
      </c>
      <c r="H27" s="52">
        <v>0</v>
      </c>
      <c r="I27" s="52">
        <v>1</v>
      </c>
      <c r="J27" s="29"/>
    </row>
    <row r="28" spans="1:14" x14ac:dyDescent="0.25">
      <c r="A28" s="65" t="s">
        <v>81</v>
      </c>
      <c r="B28" s="5" t="s">
        <v>67</v>
      </c>
      <c r="C28" s="29" t="s">
        <v>39</v>
      </c>
      <c r="D28" s="3" t="s">
        <v>42</v>
      </c>
      <c r="E28" s="3" t="s">
        <v>45</v>
      </c>
      <c r="F28" s="3" t="s">
        <v>41</v>
      </c>
      <c r="G28" s="3" t="s">
        <v>40</v>
      </c>
      <c r="H28" s="52">
        <v>0</v>
      </c>
      <c r="I28" s="52">
        <v>3</v>
      </c>
      <c r="J28" s="29"/>
    </row>
    <row r="29" spans="1:14" x14ac:dyDescent="0.25">
      <c r="A29" s="65" t="s">
        <v>82</v>
      </c>
      <c r="B29" s="5" t="s">
        <v>66</v>
      </c>
      <c r="C29" s="29" t="s">
        <v>63</v>
      </c>
      <c r="D29" s="3" t="s">
        <v>45</v>
      </c>
      <c r="E29" s="3" t="s">
        <v>40</v>
      </c>
      <c r="F29" s="3" t="s">
        <v>42</v>
      </c>
      <c r="G29" s="3" t="s">
        <v>41</v>
      </c>
      <c r="H29" s="52">
        <v>0</v>
      </c>
      <c r="I29" s="52">
        <v>4</v>
      </c>
      <c r="J29" s="29"/>
    </row>
    <row r="30" spans="1:14" x14ac:dyDescent="0.25">
      <c r="A30" s="65" t="s">
        <v>83</v>
      </c>
      <c r="B30" s="5" t="s">
        <v>65</v>
      </c>
      <c r="C30" s="29" t="s">
        <v>62</v>
      </c>
      <c r="D30" s="3" t="s">
        <v>45</v>
      </c>
      <c r="E30" s="3" t="s">
        <v>40</v>
      </c>
      <c r="F30" s="3" t="s">
        <v>42</v>
      </c>
      <c r="G30" s="3" t="s">
        <v>41</v>
      </c>
      <c r="H30" s="52">
        <v>1</v>
      </c>
      <c r="I30" s="52">
        <v>3</v>
      </c>
      <c r="J30" s="29"/>
    </row>
    <row r="31" spans="1:14" x14ac:dyDescent="0.25">
      <c r="A31" s="65" t="s">
        <v>84</v>
      </c>
      <c r="B31" s="5" t="s">
        <v>68</v>
      </c>
      <c r="C31" s="29" t="s">
        <v>43</v>
      </c>
      <c r="D31" s="3" t="s">
        <v>41</v>
      </c>
      <c r="E31" s="3" t="s">
        <v>42</v>
      </c>
      <c r="F31" s="3" t="s">
        <v>40</v>
      </c>
      <c r="G31" s="3" t="s">
        <v>45</v>
      </c>
      <c r="H31" s="52">
        <v>1</v>
      </c>
      <c r="I31" s="52">
        <v>1</v>
      </c>
      <c r="J31" s="29"/>
    </row>
    <row r="32" spans="1:14" x14ac:dyDescent="0.25">
      <c r="A32" s="65" t="s">
        <v>85</v>
      </c>
      <c r="B32" s="5" t="s">
        <v>68</v>
      </c>
      <c r="C32" s="29" t="s">
        <v>43</v>
      </c>
      <c r="D32" s="3" t="s">
        <v>40</v>
      </c>
      <c r="E32" s="3" t="s">
        <v>41</v>
      </c>
      <c r="F32" s="3" t="s">
        <v>45</v>
      </c>
      <c r="G32" s="3" t="s">
        <v>42</v>
      </c>
      <c r="H32" s="52">
        <v>1</v>
      </c>
      <c r="I32" s="52">
        <v>2</v>
      </c>
      <c r="J32" s="29"/>
    </row>
    <row r="33" spans="1:10" x14ac:dyDescent="0.25">
      <c r="A33" s="65" t="s">
        <v>86</v>
      </c>
      <c r="B33" s="5" t="s">
        <v>64</v>
      </c>
      <c r="C33" s="29" t="s">
        <v>61</v>
      </c>
      <c r="D33" s="3" t="s">
        <v>41</v>
      </c>
      <c r="E33" s="3" t="s">
        <v>42</v>
      </c>
      <c r="F33" s="3" t="s">
        <v>40</v>
      </c>
      <c r="G33" s="3" t="s">
        <v>45</v>
      </c>
      <c r="H33" s="52">
        <v>1</v>
      </c>
      <c r="I33" s="52">
        <v>4</v>
      </c>
      <c r="J33" s="29"/>
    </row>
    <row r="34" spans="1:10" x14ac:dyDescent="0.25">
      <c r="A34" s="65" t="s">
        <v>87</v>
      </c>
      <c r="B34" s="5" t="s">
        <v>65</v>
      </c>
      <c r="C34" s="29" t="s">
        <v>62</v>
      </c>
      <c r="D34" s="3" t="s">
        <v>40</v>
      </c>
      <c r="E34" s="3" t="s">
        <v>41</v>
      </c>
      <c r="F34" s="3" t="s">
        <v>45</v>
      </c>
      <c r="G34" s="3" t="s">
        <v>42</v>
      </c>
      <c r="H34" s="52">
        <v>1</v>
      </c>
      <c r="I34" s="52">
        <v>2</v>
      </c>
      <c r="J34" s="29"/>
    </row>
    <row r="35" spans="1:10" x14ac:dyDescent="0.25">
      <c r="A35" s="65" t="s">
        <v>88</v>
      </c>
      <c r="B35" s="5" t="s">
        <v>68</v>
      </c>
      <c r="C35" s="29" t="s">
        <v>43</v>
      </c>
      <c r="D35" s="3" t="s">
        <v>41</v>
      </c>
      <c r="E35" s="3" t="s">
        <v>40</v>
      </c>
      <c r="F35" s="3" t="s">
        <v>45</v>
      </c>
      <c r="G35" s="3" t="s">
        <v>42</v>
      </c>
      <c r="H35" s="52">
        <v>1</v>
      </c>
      <c r="I35" s="52">
        <v>1</v>
      </c>
      <c r="J35" s="29"/>
    </row>
    <row r="36" spans="1:10" x14ac:dyDescent="0.25">
      <c r="A36" s="65" t="s">
        <v>89</v>
      </c>
      <c r="B36" s="5" t="s">
        <v>65</v>
      </c>
      <c r="C36" s="29" t="s">
        <v>62</v>
      </c>
      <c r="D36" s="3" t="s">
        <v>41</v>
      </c>
      <c r="E36" s="3" t="s">
        <v>40</v>
      </c>
      <c r="F36" s="3" t="s">
        <v>45</v>
      </c>
      <c r="G36" s="3" t="s">
        <v>42</v>
      </c>
      <c r="H36" s="52">
        <v>0</v>
      </c>
      <c r="I36" s="52">
        <v>1</v>
      </c>
      <c r="J36" s="29"/>
    </row>
    <row r="37" spans="1:10" x14ac:dyDescent="0.25">
      <c r="A37" s="65" t="s">
        <v>90</v>
      </c>
      <c r="B37" s="5" t="s">
        <v>69</v>
      </c>
      <c r="C37" s="29" t="s">
        <v>44</v>
      </c>
      <c r="D37" s="3" t="s">
        <v>45</v>
      </c>
      <c r="E37" s="3" t="s">
        <v>40</v>
      </c>
      <c r="F37" s="3" t="s">
        <v>42</v>
      </c>
      <c r="G37" s="3" t="s">
        <v>41</v>
      </c>
      <c r="H37" s="52">
        <v>0</v>
      </c>
      <c r="I37" s="52">
        <v>4</v>
      </c>
      <c r="J37" s="29"/>
    </row>
    <row r="38" spans="1:10" x14ac:dyDescent="0.25">
      <c r="A38" s="65" t="s">
        <v>91</v>
      </c>
      <c r="B38" s="5" t="s">
        <v>64</v>
      </c>
      <c r="C38" s="29" t="s">
        <v>61</v>
      </c>
      <c r="D38" s="3" t="s">
        <v>41</v>
      </c>
      <c r="E38" s="3" t="s">
        <v>45</v>
      </c>
      <c r="F38" s="3" t="s">
        <v>42</v>
      </c>
      <c r="G38" s="3" t="s">
        <v>40</v>
      </c>
      <c r="H38" s="52">
        <v>1</v>
      </c>
      <c r="I38" s="52">
        <v>3</v>
      </c>
      <c r="J38" s="29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topLeftCell="A19" workbookViewId="0">
      <selection activeCell="E36" sqref="B1:E36"/>
    </sheetView>
  </sheetViews>
  <sheetFormatPr defaultRowHeight="15" x14ac:dyDescent="0.25"/>
  <cols>
    <col min="1" max="1" width="6" style="25" customWidth="1"/>
    <col min="2" max="5" width="34.7109375" style="6" customWidth="1"/>
  </cols>
  <sheetData>
    <row r="1" spans="1:5" x14ac:dyDescent="0.25">
      <c r="A1" s="56"/>
      <c r="B1" s="17" t="s">
        <v>41</v>
      </c>
      <c r="C1" s="17" t="s">
        <v>40</v>
      </c>
      <c r="D1" s="17" t="s">
        <v>45</v>
      </c>
      <c r="E1" s="16" t="s">
        <v>42</v>
      </c>
    </row>
    <row r="2" spans="1:5" x14ac:dyDescent="0.25">
      <c r="A2" s="56"/>
      <c r="B2" s="16" t="s">
        <v>42</v>
      </c>
      <c r="C2" s="17" t="s">
        <v>45</v>
      </c>
      <c r="D2" s="17" t="s">
        <v>40</v>
      </c>
      <c r="E2" s="17" t="s">
        <v>41</v>
      </c>
    </row>
    <row r="3" spans="1:5" x14ac:dyDescent="0.25">
      <c r="A3" s="56"/>
      <c r="B3" s="17" t="s">
        <v>45</v>
      </c>
      <c r="C3" s="16" t="s">
        <v>42</v>
      </c>
      <c r="D3" s="17" t="s">
        <v>40</v>
      </c>
      <c r="E3" s="17" t="s">
        <v>41</v>
      </c>
    </row>
    <row r="4" spans="1:5" x14ac:dyDescent="0.25">
      <c r="A4" s="56"/>
      <c r="B4" s="17" t="s">
        <v>45</v>
      </c>
      <c r="C4" s="17" t="s">
        <v>41</v>
      </c>
      <c r="D4" s="16" t="s">
        <v>40</v>
      </c>
      <c r="E4" s="17" t="s">
        <v>42</v>
      </c>
    </row>
    <row r="5" spans="1:5" x14ac:dyDescent="0.25">
      <c r="A5" s="56"/>
      <c r="B5" s="17" t="s">
        <v>40</v>
      </c>
      <c r="C5" s="17" t="s">
        <v>42</v>
      </c>
      <c r="D5" s="16" t="s">
        <v>41</v>
      </c>
      <c r="E5" s="17" t="s">
        <v>45</v>
      </c>
    </row>
    <row r="6" spans="1:5" x14ac:dyDescent="0.25">
      <c r="A6" s="56"/>
      <c r="B6" s="17" t="s">
        <v>45</v>
      </c>
      <c r="C6" s="17" t="s">
        <v>40</v>
      </c>
      <c r="D6" s="16" t="s">
        <v>41</v>
      </c>
      <c r="E6" s="17" t="s">
        <v>42</v>
      </c>
    </row>
    <row r="7" spans="1:5" x14ac:dyDescent="0.25">
      <c r="A7" s="56"/>
      <c r="B7" s="17" t="s">
        <v>41</v>
      </c>
      <c r="C7" s="17" t="s">
        <v>40</v>
      </c>
      <c r="D7" s="17" t="s">
        <v>45</v>
      </c>
      <c r="E7" s="16" t="s">
        <v>42</v>
      </c>
    </row>
    <row r="8" spans="1:5" x14ac:dyDescent="0.25">
      <c r="A8" s="56"/>
      <c r="B8" s="17" t="s">
        <v>41</v>
      </c>
      <c r="C8" s="17" t="s">
        <v>42</v>
      </c>
      <c r="D8" s="17" t="s">
        <v>45</v>
      </c>
      <c r="E8" s="16" t="s">
        <v>40</v>
      </c>
    </row>
    <row r="9" spans="1:5" x14ac:dyDescent="0.25">
      <c r="A9" s="56"/>
      <c r="B9" s="16" t="s">
        <v>41</v>
      </c>
      <c r="C9" s="17" t="s">
        <v>42</v>
      </c>
      <c r="D9" s="17" t="s">
        <v>45</v>
      </c>
      <c r="E9" s="17" t="s">
        <v>40</v>
      </c>
    </row>
    <row r="10" spans="1:5" x14ac:dyDescent="0.25">
      <c r="A10" s="56"/>
      <c r="B10" s="17" t="s">
        <v>45</v>
      </c>
      <c r="C10" s="17" t="s">
        <v>41</v>
      </c>
      <c r="D10" s="16" t="s">
        <v>40</v>
      </c>
      <c r="E10" s="17" t="s">
        <v>42</v>
      </c>
    </row>
    <row r="11" spans="1:5" x14ac:dyDescent="0.25">
      <c r="A11" s="56"/>
      <c r="B11" s="17" t="s">
        <v>41</v>
      </c>
      <c r="C11" s="17" t="s">
        <v>45</v>
      </c>
      <c r="D11" s="16" t="s">
        <v>40</v>
      </c>
      <c r="E11" s="17" t="s">
        <v>42</v>
      </c>
    </row>
    <row r="12" spans="1:5" x14ac:dyDescent="0.25">
      <c r="A12" s="56"/>
      <c r="B12" s="17" t="s">
        <v>45</v>
      </c>
      <c r="C12" s="16" t="s">
        <v>42</v>
      </c>
      <c r="D12" s="17" t="s">
        <v>40</v>
      </c>
      <c r="E12" s="17" t="s">
        <v>41</v>
      </c>
    </row>
    <row r="13" spans="1:5" x14ac:dyDescent="0.25">
      <c r="A13" s="56"/>
      <c r="B13" s="17" t="s">
        <v>42</v>
      </c>
      <c r="C13" s="17" t="s">
        <v>40</v>
      </c>
      <c r="D13" s="16" t="s">
        <v>41</v>
      </c>
      <c r="E13" s="17" t="s">
        <v>45</v>
      </c>
    </row>
    <row r="14" spans="1:5" x14ac:dyDescent="0.25">
      <c r="A14" s="56"/>
      <c r="B14" s="17" t="s">
        <v>40</v>
      </c>
      <c r="C14" s="17" t="s">
        <v>42</v>
      </c>
      <c r="D14" s="16" t="s">
        <v>41</v>
      </c>
      <c r="E14" s="17" t="s">
        <v>45</v>
      </c>
    </row>
    <row r="15" spans="1:5" x14ac:dyDescent="0.25">
      <c r="A15" s="56"/>
      <c r="B15" s="17" t="s">
        <v>42</v>
      </c>
      <c r="C15" s="17" t="s">
        <v>41</v>
      </c>
      <c r="D15" s="17" t="s">
        <v>45</v>
      </c>
      <c r="E15" s="16" t="s">
        <v>40</v>
      </c>
    </row>
    <row r="16" spans="1:5" x14ac:dyDescent="0.25">
      <c r="A16" s="56"/>
      <c r="B16" s="17" t="s">
        <v>42</v>
      </c>
      <c r="C16" s="17" t="s">
        <v>41</v>
      </c>
      <c r="D16" s="17" t="s">
        <v>45</v>
      </c>
      <c r="E16" s="16" t="s">
        <v>40</v>
      </c>
    </row>
    <row r="17" spans="1:5" x14ac:dyDescent="0.25">
      <c r="A17" s="56"/>
      <c r="B17" s="17" t="s">
        <v>45</v>
      </c>
      <c r="C17" s="17" t="s">
        <v>40</v>
      </c>
      <c r="D17" s="17" t="s">
        <v>41</v>
      </c>
      <c r="E17" s="16" t="s">
        <v>42</v>
      </c>
    </row>
    <row r="18" spans="1:5" x14ac:dyDescent="0.25">
      <c r="A18" s="56"/>
      <c r="B18" s="17" t="s">
        <v>41</v>
      </c>
      <c r="C18" s="16" t="s">
        <v>40</v>
      </c>
      <c r="D18" s="17" t="s">
        <v>42</v>
      </c>
      <c r="E18" s="17" t="s">
        <v>45</v>
      </c>
    </row>
    <row r="19" spans="1:5" x14ac:dyDescent="0.25">
      <c r="A19" s="56"/>
      <c r="B19" s="17" t="s">
        <v>45</v>
      </c>
      <c r="C19" s="17" t="s">
        <v>40</v>
      </c>
      <c r="D19" s="17" t="s">
        <v>41</v>
      </c>
      <c r="E19" s="16" t="s">
        <v>42</v>
      </c>
    </row>
    <row r="20" spans="1:5" x14ac:dyDescent="0.25">
      <c r="A20" s="56"/>
      <c r="B20" s="17" t="s">
        <v>41</v>
      </c>
      <c r="C20" s="16" t="s">
        <v>40</v>
      </c>
      <c r="D20" s="17" t="s">
        <v>42</v>
      </c>
      <c r="E20" s="17" t="s">
        <v>45</v>
      </c>
    </row>
    <row r="21" spans="1:5" x14ac:dyDescent="0.25">
      <c r="A21" s="56"/>
      <c r="B21" s="17" t="s">
        <v>42</v>
      </c>
      <c r="C21" s="17" t="s">
        <v>40</v>
      </c>
      <c r="D21" s="16" t="s">
        <v>41</v>
      </c>
      <c r="E21" s="17" t="s">
        <v>45</v>
      </c>
    </row>
    <row r="22" spans="1:5" x14ac:dyDescent="0.25">
      <c r="A22" s="56"/>
      <c r="B22" s="17" t="s">
        <v>42</v>
      </c>
      <c r="C22" s="17" t="s">
        <v>45</v>
      </c>
      <c r="D22" s="16" t="s">
        <v>40</v>
      </c>
      <c r="E22" s="17" t="s">
        <v>41</v>
      </c>
    </row>
    <row r="23" spans="1:5" x14ac:dyDescent="0.25">
      <c r="A23" s="56"/>
      <c r="B23" s="16" t="s">
        <v>42</v>
      </c>
      <c r="C23" s="17" t="s">
        <v>45</v>
      </c>
      <c r="D23" s="17" t="s">
        <v>41</v>
      </c>
      <c r="E23" s="17" t="s">
        <v>40</v>
      </c>
    </row>
    <row r="24" spans="1:5" x14ac:dyDescent="0.25">
      <c r="A24" s="56"/>
      <c r="B24" s="16" t="s">
        <v>42</v>
      </c>
      <c r="C24" s="17" t="s">
        <v>45</v>
      </c>
      <c r="D24" s="17" t="s">
        <v>40</v>
      </c>
      <c r="E24" s="17" t="s">
        <v>41</v>
      </c>
    </row>
    <row r="25" spans="1:5" x14ac:dyDescent="0.25">
      <c r="A25" s="56"/>
      <c r="B25" s="16" t="s">
        <v>42</v>
      </c>
      <c r="C25" s="17" t="s">
        <v>45</v>
      </c>
      <c r="D25" s="17" t="s">
        <v>41</v>
      </c>
      <c r="E25" s="17" t="s">
        <v>40</v>
      </c>
    </row>
    <row r="26" spans="1:5" x14ac:dyDescent="0.25">
      <c r="A26" s="56"/>
      <c r="B26" s="17" t="s">
        <v>42</v>
      </c>
      <c r="C26" s="17" t="s">
        <v>45</v>
      </c>
      <c r="D26" s="16" t="s">
        <v>40</v>
      </c>
      <c r="E26" s="17" t="s">
        <v>41</v>
      </c>
    </row>
    <row r="27" spans="1:5" x14ac:dyDescent="0.25">
      <c r="A27" s="56"/>
      <c r="B27" s="17" t="s">
        <v>45</v>
      </c>
      <c r="C27" s="17" t="s">
        <v>40</v>
      </c>
      <c r="D27" s="17" t="s">
        <v>41</v>
      </c>
      <c r="E27" s="16" t="s">
        <v>42</v>
      </c>
    </row>
    <row r="28" spans="1:5" x14ac:dyDescent="0.25">
      <c r="A28" s="56"/>
      <c r="B28" s="17" t="s">
        <v>45</v>
      </c>
      <c r="C28" s="17" t="s">
        <v>40</v>
      </c>
      <c r="D28" s="16" t="s">
        <v>41</v>
      </c>
      <c r="E28" s="17" t="s">
        <v>42</v>
      </c>
    </row>
    <row r="29" spans="1:5" x14ac:dyDescent="0.25">
      <c r="A29" s="56"/>
      <c r="B29" s="16" t="s">
        <v>41</v>
      </c>
      <c r="C29" s="17" t="s">
        <v>42</v>
      </c>
      <c r="D29" s="17" t="s">
        <v>45</v>
      </c>
      <c r="E29" s="17" t="s">
        <v>40</v>
      </c>
    </row>
    <row r="30" spans="1:5" x14ac:dyDescent="0.25">
      <c r="A30" s="56"/>
      <c r="B30" s="17" t="s">
        <v>40</v>
      </c>
      <c r="C30" s="16" t="s">
        <v>41</v>
      </c>
      <c r="D30" s="17" t="s">
        <v>42</v>
      </c>
      <c r="E30" s="17" t="s">
        <v>45</v>
      </c>
    </row>
    <row r="31" spans="1:5" x14ac:dyDescent="0.25">
      <c r="A31" s="56"/>
      <c r="B31" s="17" t="s">
        <v>41</v>
      </c>
      <c r="C31" s="17" t="s">
        <v>42</v>
      </c>
      <c r="D31" s="17" t="s">
        <v>45</v>
      </c>
      <c r="E31" s="16" t="s">
        <v>40</v>
      </c>
    </row>
    <row r="32" spans="1:5" x14ac:dyDescent="0.25">
      <c r="A32" s="56"/>
      <c r="B32" s="17" t="s">
        <v>40</v>
      </c>
      <c r="C32" s="16" t="s">
        <v>41</v>
      </c>
      <c r="D32" s="17" t="s">
        <v>42</v>
      </c>
      <c r="E32" s="17" t="s">
        <v>45</v>
      </c>
    </row>
    <row r="33" spans="1:5" x14ac:dyDescent="0.25">
      <c r="A33" s="56"/>
      <c r="B33" s="16" t="s">
        <v>41</v>
      </c>
      <c r="C33" s="17" t="s">
        <v>40</v>
      </c>
      <c r="D33" s="17" t="s">
        <v>42</v>
      </c>
      <c r="E33" s="17" t="s">
        <v>45</v>
      </c>
    </row>
    <row r="34" spans="1:5" x14ac:dyDescent="0.25">
      <c r="A34" s="56"/>
      <c r="B34" s="16" t="s">
        <v>41</v>
      </c>
      <c r="C34" s="17" t="s">
        <v>40</v>
      </c>
      <c r="D34" s="17" t="s">
        <v>42</v>
      </c>
      <c r="E34" s="17" t="s">
        <v>45</v>
      </c>
    </row>
    <row r="35" spans="1:5" x14ac:dyDescent="0.25">
      <c r="A35" s="56"/>
      <c r="B35" s="17" t="s">
        <v>45</v>
      </c>
      <c r="C35" s="17" t="s">
        <v>40</v>
      </c>
      <c r="D35" s="17" t="s">
        <v>41</v>
      </c>
      <c r="E35" s="16" t="s">
        <v>42</v>
      </c>
    </row>
    <row r="36" spans="1:5" x14ac:dyDescent="0.25">
      <c r="A36" s="56"/>
      <c r="B36" s="17" t="s">
        <v>41</v>
      </c>
      <c r="C36" s="17" t="s">
        <v>45</v>
      </c>
      <c r="D36" s="16" t="s">
        <v>40</v>
      </c>
      <c r="E36" s="17" t="s">
        <v>42</v>
      </c>
    </row>
    <row r="37" spans="1:5" x14ac:dyDescent="0.25">
      <c r="A37" s="56"/>
      <c r="B37" s="19"/>
      <c r="C37" s="19"/>
      <c r="D37" s="19"/>
      <c r="E37" s="19"/>
    </row>
    <row r="38" spans="1:5" x14ac:dyDescent="0.25">
      <c r="A38" s="56"/>
      <c r="B38" s="19"/>
      <c r="C38" s="19"/>
      <c r="D38" s="19"/>
      <c r="E38" s="19"/>
    </row>
    <row r="39" spans="1:5" x14ac:dyDescent="0.25">
      <c r="A39" s="57"/>
      <c r="B39" s="19"/>
      <c r="C39" s="19"/>
      <c r="D39" s="19"/>
      <c r="E39" s="19"/>
    </row>
    <row r="40" spans="1:5" x14ac:dyDescent="0.25">
      <c r="A40" s="57"/>
      <c r="B40" s="19"/>
      <c r="C40" s="19"/>
      <c r="D40" s="19"/>
      <c r="E40" s="19"/>
    </row>
    <row r="41" spans="1:5" x14ac:dyDescent="0.25">
      <c r="A41" s="57"/>
      <c r="B41" s="19"/>
      <c r="C41" s="19"/>
      <c r="D41" s="19"/>
      <c r="E41" s="19"/>
    </row>
    <row r="42" spans="1:5" x14ac:dyDescent="0.25">
      <c r="A42" s="57"/>
      <c r="B42" s="19"/>
      <c r="C42" s="19"/>
      <c r="D42" s="19"/>
      <c r="E42" s="19"/>
    </row>
    <row r="43" spans="1:5" x14ac:dyDescent="0.25">
      <c r="A43" s="57"/>
      <c r="B43" s="19"/>
      <c r="C43" s="19"/>
      <c r="D43" s="19"/>
      <c r="E43" s="19"/>
    </row>
    <row r="44" spans="1:5" x14ac:dyDescent="0.25">
      <c r="A44" s="57"/>
      <c r="B44" s="19"/>
      <c r="C44" s="19"/>
      <c r="D44" s="19"/>
      <c r="E44" s="19"/>
    </row>
    <row r="45" spans="1:5" x14ac:dyDescent="0.25">
      <c r="A45" s="57"/>
      <c r="B45" s="19"/>
      <c r="C45" s="19"/>
      <c r="D45" s="19"/>
      <c r="E45" s="19"/>
    </row>
    <row r="46" spans="1:5" x14ac:dyDescent="0.25">
      <c r="A46" s="57"/>
      <c r="B46" s="19"/>
      <c r="C46" s="19"/>
      <c r="D46" s="19"/>
      <c r="E46" s="19"/>
    </row>
    <row r="47" spans="1:5" x14ac:dyDescent="0.25">
      <c r="A47" s="57"/>
      <c r="B47" s="19"/>
      <c r="C47" s="19"/>
      <c r="D47" s="19"/>
      <c r="E47" s="19"/>
    </row>
    <row r="48" spans="1:5" x14ac:dyDescent="0.25">
      <c r="A48" s="57"/>
      <c r="B48" s="19"/>
      <c r="C48" s="19"/>
      <c r="D48" s="19"/>
      <c r="E48" s="19"/>
    </row>
    <row r="49" spans="1:5" x14ac:dyDescent="0.25">
      <c r="A49" s="57"/>
      <c r="B49" s="19"/>
      <c r="C49" s="19"/>
      <c r="D49" s="19"/>
      <c r="E49" s="19"/>
    </row>
    <row r="50" spans="1:5" x14ac:dyDescent="0.25">
      <c r="A50" s="57"/>
      <c r="B50" s="19"/>
      <c r="C50" s="19"/>
      <c r="D50" s="19"/>
      <c r="E50" s="19"/>
    </row>
    <row r="51" spans="1:5" x14ac:dyDescent="0.25">
      <c r="A51" s="57"/>
      <c r="B51" s="19"/>
      <c r="C51" s="19"/>
      <c r="D51" s="19"/>
      <c r="E51" s="19"/>
    </row>
    <row r="52" spans="1:5" x14ac:dyDescent="0.25">
      <c r="A52" s="57"/>
      <c r="B52" s="19"/>
      <c r="C52" s="19"/>
      <c r="D52" s="19"/>
      <c r="E52" s="19"/>
    </row>
    <row r="53" spans="1:5" x14ac:dyDescent="0.25">
      <c r="A53" s="57"/>
      <c r="B53" s="19"/>
      <c r="C53" s="19"/>
      <c r="D53" s="19"/>
      <c r="E53" s="19"/>
    </row>
    <row r="54" spans="1:5" x14ac:dyDescent="0.25">
      <c r="A54" s="57"/>
      <c r="B54" s="19"/>
      <c r="C54" s="19"/>
      <c r="D54" s="19"/>
      <c r="E54" s="19"/>
    </row>
    <row r="55" spans="1:5" x14ac:dyDescent="0.25">
      <c r="A55" s="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zoomScale="98" zoomScaleNormal="98" workbookViewId="0">
      <selection activeCell="AH18" sqref="AH18"/>
    </sheetView>
  </sheetViews>
  <sheetFormatPr defaultRowHeight="15" x14ac:dyDescent="0.25"/>
  <cols>
    <col min="1" max="1" width="3.42578125" style="22" customWidth="1"/>
    <col min="2" max="2" width="3.42578125" customWidth="1"/>
    <col min="3" max="6" width="3.42578125" style="22" customWidth="1"/>
    <col min="7" max="7" width="3.7109375" style="22" customWidth="1"/>
    <col min="8" max="8" width="3.140625" style="22" customWidth="1"/>
    <col min="9" max="14" width="3.42578125" style="22" customWidth="1"/>
    <col min="15" max="15" width="4.42578125" style="22" customWidth="1"/>
    <col min="16" max="19" width="3.42578125" style="22" customWidth="1"/>
    <col min="20" max="20" width="3.42578125" customWidth="1"/>
    <col min="21" max="21" width="3.7109375" customWidth="1"/>
    <col min="22" max="27" width="3.140625" customWidth="1"/>
    <col min="28" max="32" width="3.140625" style="22" customWidth="1"/>
    <col min="33" max="33" width="3.140625" customWidth="1"/>
  </cols>
  <sheetData>
    <row r="1" spans="1:22" x14ac:dyDescent="0.25">
      <c r="A1" s="30" t="s">
        <v>13</v>
      </c>
      <c r="B1" s="31"/>
      <c r="C1" s="32"/>
      <c r="D1" s="1"/>
      <c r="E1" s="1"/>
      <c r="F1" s="1"/>
      <c r="G1" s="1"/>
      <c r="H1" s="1"/>
      <c r="O1" s="30" t="s">
        <v>14</v>
      </c>
      <c r="P1"/>
      <c r="Q1" s="2"/>
      <c r="T1" s="22"/>
      <c r="U1" s="22"/>
      <c r="V1" s="22"/>
    </row>
    <row r="2" spans="1:22" ht="12" customHeight="1" x14ac:dyDescent="0.25">
      <c r="A2" s="1"/>
      <c r="B2" s="58"/>
      <c r="C2" s="58"/>
      <c r="D2" s="58"/>
      <c r="E2" s="58"/>
      <c r="F2" s="58"/>
      <c r="G2" s="1"/>
      <c r="H2" s="1"/>
      <c r="P2" s="59"/>
      <c r="Q2" s="59"/>
      <c r="R2" s="59"/>
      <c r="S2" s="59"/>
      <c r="T2" s="59"/>
      <c r="U2" s="22"/>
      <c r="V2" s="22"/>
    </row>
    <row r="3" spans="1:22" ht="12" customHeight="1" x14ac:dyDescent="0.25">
      <c r="B3" s="23" t="s">
        <v>19</v>
      </c>
      <c r="C3" s="60" t="s">
        <v>1</v>
      </c>
      <c r="D3" s="60"/>
      <c r="E3" s="60"/>
      <c r="F3" s="60"/>
      <c r="P3" s="23" t="s">
        <v>19</v>
      </c>
      <c r="Q3" s="60" t="s">
        <v>1</v>
      </c>
      <c r="R3" s="60"/>
      <c r="S3" s="60"/>
      <c r="T3" s="60"/>
      <c r="U3" s="22"/>
      <c r="V3" s="22"/>
    </row>
    <row r="4" spans="1:22" ht="12" customHeight="1" x14ac:dyDescent="0.25">
      <c r="A4" s="22" t="s">
        <v>16</v>
      </c>
      <c r="B4" s="23"/>
      <c r="C4" s="15" t="s">
        <v>9</v>
      </c>
      <c r="D4" s="15" t="s">
        <v>9</v>
      </c>
      <c r="E4" s="15" t="s">
        <v>10</v>
      </c>
      <c r="F4" s="15" t="s">
        <v>11</v>
      </c>
      <c r="G4" s="22" t="s">
        <v>12</v>
      </c>
      <c r="H4" s="22" t="s">
        <v>15</v>
      </c>
      <c r="O4" s="22" t="s">
        <v>16</v>
      </c>
      <c r="P4" s="23"/>
      <c r="Q4" s="15" t="s">
        <v>9</v>
      </c>
      <c r="R4" s="15" t="s">
        <v>9</v>
      </c>
      <c r="S4" s="15" t="s">
        <v>10</v>
      </c>
      <c r="T4" s="15" t="s">
        <v>11</v>
      </c>
      <c r="U4" s="22" t="s">
        <v>12</v>
      </c>
      <c r="V4" s="22" t="s">
        <v>15</v>
      </c>
    </row>
    <row r="5" spans="1:22" ht="12" customHeight="1" x14ac:dyDescent="0.25">
      <c r="A5" s="1">
        <v>1</v>
      </c>
      <c r="B5" s="28" t="s">
        <v>3</v>
      </c>
      <c r="C5" s="19" t="s">
        <v>6</v>
      </c>
      <c r="D5" s="40" t="s">
        <v>2</v>
      </c>
      <c r="E5" s="19" t="s">
        <v>7</v>
      </c>
      <c r="F5" s="19" t="s">
        <v>8</v>
      </c>
      <c r="G5" s="29">
        <v>2</v>
      </c>
      <c r="H5" s="1">
        <v>0</v>
      </c>
      <c r="O5" s="1">
        <v>1</v>
      </c>
      <c r="P5" s="28" t="s">
        <v>5</v>
      </c>
      <c r="Q5" s="40" t="s">
        <v>7</v>
      </c>
      <c r="R5" s="19" t="s">
        <v>2</v>
      </c>
      <c r="S5" s="19" t="s">
        <v>6</v>
      </c>
      <c r="T5" s="19" t="s">
        <v>8</v>
      </c>
      <c r="U5" s="29">
        <v>1</v>
      </c>
      <c r="V5" s="1">
        <v>1</v>
      </c>
    </row>
    <row r="6" spans="1:22" ht="12" customHeight="1" x14ac:dyDescent="0.25">
      <c r="A6" s="1">
        <v>2</v>
      </c>
      <c r="B6" s="28" t="s">
        <v>7</v>
      </c>
      <c r="C6" s="19" t="s">
        <v>8</v>
      </c>
      <c r="D6" s="19" t="s">
        <v>3</v>
      </c>
      <c r="E6" s="40" t="s">
        <v>5</v>
      </c>
      <c r="F6" s="19" t="s">
        <v>4</v>
      </c>
      <c r="G6" s="29">
        <v>3</v>
      </c>
      <c r="H6" s="1">
        <v>0</v>
      </c>
      <c r="O6" s="1">
        <f>O5+1</f>
        <v>2</v>
      </c>
      <c r="P6" s="28" t="s">
        <v>3</v>
      </c>
      <c r="Q6" s="19" t="s">
        <v>5</v>
      </c>
      <c r="R6" s="40" t="s">
        <v>3</v>
      </c>
      <c r="S6" s="19" t="s">
        <v>8</v>
      </c>
      <c r="T6" s="19" t="s">
        <v>4</v>
      </c>
      <c r="U6" s="29">
        <v>2</v>
      </c>
      <c r="V6" s="46">
        <v>1</v>
      </c>
    </row>
    <row r="7" spans="1:22" ht="12" customHeight="1" x14ac:dyDescent="0.25">
      <c r="A7" s="1">
        <v>3</v>
      </c>
      <c r="B7" s="28" t="s">
        <v>6</v>
      </c>
      <c r="C7" s="19" t="s">
        <v>3</v>
      </c>
      <c r="D7" s="19" t="s">
        <v>5</v>
      </c>
      <c r="E7" s="40" t="s">
        <v>4</v>
      </c>
      <c r="F7" s="19" t="s">
        <v>8</v>
      </c>
      <c r="G7" s="29">
        <v>3</v>
      </c>
      <c r="H7" s="1">
        <v>0</v>
      </c>
      <c r="O7" s="1">
        <f t="shared" ref="O7:O58" si="0">O6+1</f>
        <v>3</v>
      </c>
      <c r="P7" s="28" t="s">
        <v>7</v>
      </c>
      <c r="Q7" s="19" t="s">
        <v>4</v>
      </c>
      <c r="R7" s="40" t="s">
        <v>5</v>
      </c>
      <c r="S7" s="19" t="s">
        <v>3</v>
      </c>
      <c r="T7" s="19" t="s">
        <v>8</v>
      </c>
      <c r="U7" s="29">
        <v>2</v>
      </c>
      <c r="V7" s="46">
        <v>1</v>
      </c>
    </row>
    <row r="8" spans="1:22" ht="12" customHeight="1" x14ac:dyDescent="0.25">
      <c r="A8" s="33">
        <v>4</v>
      </c>
      <c r="B8" s="28" t="s">
        <v>3</v>
      </c>
      <c r="C8" s="19" t="s">
        <v>7</v>
      </c>
      <c r="D8" s="19" t="s">
        <v>6</v>
      </c>
      <c r="E8" s="19" t="s">
        <v>8</v>
      </c>
      <c r="F8" s="40" t="s">
        <v>2</v>
      </c>
      <c r="G8" s="29">
        <v>4</v>
      </c>
      <c r="H8" s="1">
        <v>0</v>
      </c>
      <c r="O8" s="1">
        <f t="shared" si="0"/>
        <v>4</v>
      </c>
      <c r="P8" s="28" t="s">
        <v>3</v>
      </c>
      <c r="Q8" s="19" t="s">
        <v>8</v>
      </c>
      <c r="R8" s="19" t="s">
        <v>6</v>
      </c>
      <c r="S8" s="19" t="s">
        <v>7</v>
      </c>
      <c r="T8" s="40" t="s">
        <v>2</v>
      </c>
      <c r="U8" s="29">
        <v>4</v>
      </c>
      <c r="V8" s="46">
        <v>1</v>
      </c>
    </row>
    <row r="9" spans="1:22" ht="12" customHeight="1" x14ac:dyDescent="0.25">
      <c r="A9" s="33">
        <v>5</v>
      </c>
      <c r="B9" s="28" t="s">
        <v>2</v>
      </c>
      <c r="C9" s="40" t="s">
        <v>3</v>
      </c>
      <c r="D9" s="19" t="s">
        <v>8</v>
      </c>
      <c r="E9" s="19" t="s">
        <v>5</v>
      </c>
      <c r="F9" s="19" t="s">
        <v>4</v>
      </c>
      <c r="G9" s="29">
        <v>1</v>
      </c>
      <c r="H9" s="1">
        <v>0</v>
      </c>
      <c r="O9" s="1">
        <f t="shared" si="0"/>
        <v>5</v>
      </c>
      <c r="P9" s="28" t="s">
        <v>6</v>
      </c>
      <c r="Q9" s="19" t="s">
        <v>5</v>
      </c>
      <c r="R9" s="19" t="s">
        <v>8</v>
      </c>
      <c r="S9" s="19" t="s">
        <v>3</v>
      </c>
      <c r="T9" s="40" t="s">
        <v>4</v>
      </c>
      <c r="U9" s="29">
        <v>4</v>
      </c>
      <c r="V9" s="46">
        <v>1</v>
      </c>
    </row>
    <row r="10" spans="1:22" ht="12" customHeight="1" x14ac:dyDescent="0.25">
      <c r="A10" s="33">
        <v>6</v>
      </c>
      <c r="B10" s="28" t="s">
        <v>4</v>
      </c>
      <c r="C10" s="40" t="s">
        <v>6</v>
      </c>
      <c r="D10" s="19" t="s">
        <v>2</v>
      </c>
      <c r="E10" s="19" t="s">
        <v>7</v>
      </c>
      <c r="F10" s="19" t="s">
        <v>8</v>
      </c>
      <c r="G10" s="29">
        <v>1</v>
      </c>
      <c r="H10" s="1">
        <v>0</v>
      </c>
      <c r="O10" s="1">
        <f t="shared" si="0"/>
        <v>6</v>
      </c>
      <c r="P10" s="28" t="s">
        <v>7</v>
      </c>
      <c r="Q10" s="40" t="s">
        <v>7</v>
      </c>
      <c r="R10" s="19" t="s">
        <v>2</v>
      </c>
      <c r="S10" s="19" t="s">
        <v>6</v>
      </c>
      <c r="T10" s="19" t="s">
        <v>8</v>
      </c>
      <c r="U10" s="29">
        <v>1</v>
      </c>
      <c r="V10" s="46">
        <v>1</v>
      </c>
    </row>
    <row r="11" spans="1:22" ht="12" customHeight="1" x14ac:dyDescent="0.25">
      <c r="A11" s="33">
        <v>7</v>
      </c>
      <c r="B11" s="28" t="s">
        <v>6</v>
      </c>
      <c r="C11" s="19" t="s">
        <v>8</v>
      </c>
      <c r="D11" s="19" t="s">
        <v>5</v>
      </c>
      <c r="E11" s="40" t="s">
        <v>4</v>
      </c>
      <c r="F11" s="19" t="s">
        <v>3</v>
      </c>
      <c r="G11" s="29">
        <v>3</v>
      </c>
      <c r="H11" s="1">
        <v>0</v>
      </c>
      <c r="O11" s="1">
        <f t="shared" si="0"/>
        <v>7</v>
      </c>
      <c r="P11" s="28" t="s">
        <v>6</v>
      </c>
      <c r="Q11" s="40" t="s">
        <v>4</v>
      </c>
      <c r="R11" s="19" t="s">
        <v>5</v>
      </c>
      <c r="S11" s="19" t="s">
        <v>8</v>
      </c>
      <c r="T11" s="19" t="s">
        <v>3</v>
      </c>
      <c r="U11" s="29">
        <v>1</v>
      </c>
      <c r="V11" s="46">
        <v>1</v>
      </c>
    </row>
    <row r="12" spans="1:22" ht="12" customHeight="1" x14ac:dyDescent="0.25">
      <c r="A12" s="33">
        <v>8</v>
      </c>
      <c r="B12" s="28" t="s">
        <v>3</v>
      </c>
      <c r="C12" s="40" t="s">
        <v>2</v>
      </c>
      <c r="D12" s="19" t="s">
        <v>8</v>
      </c>
      <c r="E12" s="19" t="s">
        <v>6</v>
      </c>
      <c r="F12" s="19" t="s">
        <v>7</v>
      </c>
      <c r="G12" s="29">
        <v>1</v>
      </c>
      <c r="H12" s="1">
        <v>0</v>
      </c>
      <c r="O12" s="1">
        <f t="shared" si="0"/>
        <v>8</v>
      </c>
      <c r="P12" s="28" t="s">
        <v>3</v>
      </c>
      <c r="Q12" s="19" t="s">
        <v>6</v>
      </c>
      <c r="R12" s="19" t="s">
        <v>8</v>
      </c>
      <c r="S12" s="40" t="s">
        <v>2</v>
      </c>
      <c r="T12" s="19" t="s">
        <v>7</v>
      </c>
      <c r="U12" s="29">
        <v>3</v>
      </c>
      <c r="V12" s="46">
        <v>1</v>
      </c>
    </row>
    <row r="13" spans="1:22" ht="12" customHeight="1" x14ac:dyDescent="0.25">
      <c r="A13" s="33">
        <v>9</v>
      </c>
      <c r="B13" s="28" t="s">
        <v>5</v>
      </c>
      <c r="C13" s="40" t="s">
        <v>7</v>
      </c>
      <c r="D13" s="19" t="s">
        <v>8</v>
      </c>
      <c r="E13" s="19" t="s">
        <v>2</v>
      </c>
      <c r="F13" s="19" t="s">
        <v>6</v>
      </c>
      <c r="G13" s="29">
        <v>1</v>
      </c>
      <c r="H13" s="1">
        <v>0</v>
      </c>
      <c r="O13" s="1">
        <f t="shared" si="0"/>
        <v>9</v>
      </c>
      <c r="P13" s="28" t="s">
        <v>7</v>
      </c>
      <c r="Q13" s="19" t="s">
        <v>2</v>
      </c>
      <c r="R13" s="19" t="s">
        <v>8</v>
      </c>
      <c r="S13" s="40" t="s">
        <v>7</v>
      </c>
      <c r="T13" s="19" t="s">
        <v>6</v>
      </c>
      <c r="U13" s="29">
        <v>3</v>
      </c>
      <c r="V13" s="46">
        <v>1</v>
      </c>
    </row>
    <row r="14" spans="1:22" ht="12" customHeight="1" x14ac:dyDescent="0.25">
      <c r="A14" s="33">
        <v>10</v>
      </c>
      <c r="B14" s="28" t="s">
        <v>5</v>
      </c>
      <c r="C14" s="19" t="s">
        <v>8</v>
      </c>
      <c r="D14" s="19" t="s">
        <v>2</v>
      </c>
      <c r="E14" s="19" t="s">
        <v>6</v>
      </c>
      <c r="F14" s="40" t="s">
        <v>7</v>
      </c>
      <c r="G14" s="29">
        <v>4</v>
      </c>
      <c r="H14" s="1">
        <v>0</v>
      </c>
      <c r="O14" s="1">
        <f t="shared" si="0"/>
        <v>10</v>
      </c>
      <c r="P14" s="28" t="s">
        <v>5</v>
      </c>
      <c r="Q14" s="19" t="s">
        <v>6</v>
      </c>
      <c r="R14" s="19" t="s">
        <v>2</v>
      </c>
      <c r="S14" s="19" t="s">
        <v>8</v>
      </c>
      <c r="T14" s="40" t="s">
        <v>7</v>
      </c>
      <c r="U14" s="29">
        <v>4</v>
      </c>
      <c r="V14" s="46">
        <v>1</v>
      </c>
    </row>
    <row r="15" spans="1:22" ht="12" customHeight="1" x14ac:dyDescent="0.25">
      <c r="A15" s="33">
        <v>11</v>
      </c>
      <c r="B15" s="28" t="s">
        <v>2</v>
      </c>
      <c r="C15" s="19" t="s">
        <v>4</v>
      </c>
      <c r="D15" s="19" t="s">
        <v>5</v>
      </c>
      <c r="E15" s="19" t="s">
        <v>8</v>
      </c>
      <c r="F15" s="40" t="s">
        <v>3</v>
      </c>
      <c r="G15" s="29">
        <v>4</v>
      </c>
      <c r="H15" s="1">
        <v>0</v>
      </c>
      <c r="O15" s="1">
        <f t="shared" si="0"/>
        <v>11</v>
      </c>
      <c r="P15" s="28" t="s">
        <v>2</v>
      </c>
      <c r="Q15" s="19" t="s">
        <v>8</v>
      </c>
      <c r="R15" s="19" t="s">
        <v>5</v>
      </c>
      <c r="S15" s="19" t="s">
        <v>4</v>
      </c>
      <c r="T15" s="40" t="s">
        <v>3</v>
      </c>
      <c r="U15" s="29">
        <v>4</v>
      </c>
      <c r="V15" s="46">
        <v>1</v>
      </c>
    </row>
    <row r="16" spans="1:22" ht="12" customHeight="1" x14ac:dyDescent="0.25">
      <c r="A16" s="33">
        <v>12</v>
      </c>
      <c r="B16" s="28" t="s">
        <v>2</v>
      </c>
      <c r="C16" s="19" t="s">
        <v>5</v>
      </c>
      <c r="D16" s="19" t="s">
        <v>4</v>
      </c>
      <c r="E16" s="19" t="s">
        <v>8</v>
      </c>
      <c r="F16" s="40" t="s">
        <v>3</v>
      </c>
      <c r="G16" s="29">
        <v>4</v>
      </c>
      <c r="H16" s="1">
        <v>0</v>
      </c>
      <c r="O16" s="1">
        <f t="shared" si="0"/>
        <v>12</v>
      </c>
      <c r="P16" s="28" t="s">
        <v>6</v>
      </c>
      <c r="Q16" s="19" t="s">
        <v>8</v>
      </c>
      <c r="R16" s="40" t="s">
        <v>4</v>
      </c>
      <c r="S16" s="19" t="s">
        <v>5</v>
      </c>
      <c r="T16" s="19" t="s">
        <v>3</v>
      </c>
      <c r="U16" s="29">
        <v>2</v>
      </c>
      <c r="V16" s="46">
        <v>1</v>
      </c>
    </row>
    <row r="17" spans="1:32" ht="12" customHeight="1" x14ac:dyDescent="0.25">
      <c r="A17" s="1">
        <v>13</v>
      </c>
      <c r="B17" s="28" t="s">
        <v>6</v>
      </c>
      <c r="C17" s="19" t="s">
        <v>5</v>
      </c>
      <c r="D17" s="40" t="s">
        <v>4</v>
      </c>
      <c r="E17" s="19" t="s">
        <v>3</v>
      </c>
      <c r="F17" s="19" t="s">
        <v>8</v>
      </c>
      <c r="G17" s="29">
        <v>2</v>
      </c>
      <c r="H17" s="1">
        <v>0</v>
      </c>
      <c r="O17" s="1">
        <f t="shared" si="0"/>
        <v>13</v>
      </c>
      <c r="P17" s="28" t="s">
        <v>2</v>
      </c>
      <c r="Q17" s="40" t="s">
        <v>3</v>
      </c>
      <c r="R17" s="19" t="s">
        <v>4</v>
      </c>
      <c r="S17" s="19" t="s">
        <v>5</v>
      </c>
      <c r="T17" s="19" t="s">
        <v>8</v>
      </c>
      <c r="U17" s="29">
        <v>1</v>
      </c>
      <c r="V17" s="46">
        <v>1</v>
      </c>
    </row>
    <row r="18" spans="1:32" ht="12" customHeight="1" x14ac:dyDescent="0.25">
      <c r="A18" s="1">
        <v>14</v>
      </c>
      <c r="B18" s="28" t="s">
        <v>7</v>
      </c>
      <c r="C18" s="19" t="s">
        <v>3</v>
      </c>
      <c r="D18" s="40" t="s">
        <v>5</v>
      </c>
      <c r="E18" s="19" t="s">
        <v>4</v>
      </c>
      <c r="F18" s="19" t="s">
        <v>8</v>
      </c>
      <c r="G18" s="29">
        <v>2</v>
      </c>
      <c r="H18" s="1">
        <v>0</v>
      </c>
      <c r="O18" s="1">
        <f t="shared" si="0"/>
        <v>14</v>
      </c>
      <c r="P18" s="28" t="s">
        <v>6</v>
      </c>
      <c r="Q18" s="40" t="s">
        <v>4</v>
      </c>
      <c r="R18" s="19" t="s">
        <v>5</v>
      </c>
      <c r="S18" s="19" t="s">
        <v>3</v>
      </c>
      <c r="T18" s="19" t="s">
        <v>8</v>
      </c>
      <c r="U18" s="29">
        <v>1</v>
      </c>
      <c r="V18" s="46">
        <v>1</v>
      </c>
    </row>
    <row r="19" spans="1:32" ht="12" customHeight="1" x14ac:dyDescent="0.25">
      <c r="A19" s="1">
        <v>15</v>
      </c>
      <c r="B19" s="28" t="s">
        <v>2</v>
      </c>
      <c r="C19" s="19" t="s">
        <v>8</v>
      </c>
      <c r="D19" s="19" t="s">
        <v>3</v>
      </c>
      <c r="E19" s="40" t="s">
        <v>4</v>
      </c>
      <c r="F19" s="19" t="s">
        <v>5</v>
      </c>
      <c r="G19" s="29">
        <v>2</v>
      </c>
      <c r="H19" s="1">
        <v>0</v>
      </c>
      <c r="O19" s="1">
        <f t="shared" si="0"/>
        <v>15</v>
      </c>
      <c r="P19" s="28" t="s">
        <v>4</v>
      </c>
      <c r="Q19" s="40" t="s">
        <v>4</v>
      </c>
      <c r="R19" s="19" t="s">
        <v>3</v>
      </c>
      <c r="S19" s="19" t="s">
        <v>8</v>
      </c>
      <c r="T19" s="19" t="s">
        <v>5</v>
      </c>
      <c r="U19" s="29">
        <v>1</v>
      </c>
      <c r="V19" s="46">
        <v>1</v>
      </c>
    </row>
    <row r="20" spans="1:32" ht="12" customHeight="1" x14ac:dyDescent="0.25">
      <c r="A20" s="1">
        <v>16</v>
      </c>
      <c r="B20" s="28" t="s">
        <v>7</v>
      </c>
      <c r="C20" s="19" t="s">
        <v>4</v>
      </c>
      <c r="D20" s="19" t="s">
        <v>3</v>
      </c>
      <c r="E20" s="40" t="s">
        <v>5</v>
      </c>
      <c r="F20" s="19" t="s">
        <v>8</v>
      </c>
      <c r="G20" s="29">
        <v>3</v>
      </c>
      <c r="H20" s="1">
        <v>0</v>
      </c>
      <c r="O20" s="1">
        <f t="shared" si="0"/>
        <v>16</v>
      </c>
      <c r="P20" s="28" t="s">
        <v>2</v>
      </c>
      <c r="Q20" s="19" t="s">
        <v>5</v>
      </c>
      <c r="R20" s="40" t="s">
        <v>3</v>
      </c>
      <c r="S20" s="19" t="s">
        <v>4</v>
      </c>
      <c r="T20" s="19" t="s">
        <v>8</v>
      </c>
      <c r="U20" s="29">
        <v>2</v>
      </c>
      <c r="V20" s="46">
        <v>1</v>
      </c>
    </row>
    <row r="21" spans="1:32" ht="12" customHeight="1" x14ac:dyDescent="0.25">
      <c r="A21" s="1">
        <v>17</v>
      </c>
      <c r="B21" s="28" t="s">
        <v>2</v>
      </c>
      <c r="C21" s="40" t="s">
        <v>3</v>
      </c>
      <c r="D21" s="19" t="s">
        <v>4</v>
      </c>
      <c r="E21" s="19" t="s">
        <v>8</v>
      </c>
      <c r="F21" s="19" t="s">
        <v>5</v>
      </c>
      <c r="G21" s="29">
        <v>1</v>
      </c>
      <c r="H21" s="1">
        <v>0</v>
      </c>
      <c r="O21" s="1">
        <f t="shared" si="0"/>
        <v>17</v>
      </c>
      <c r="P21" s="28" t="s">
        <v>3</v>
      </c>
      <c r="Q21" s="19" t="s">
        <v>8</v>
      </c>
      <c r="R21" s="19" t="s">
        <v>4</v>
      </c>
      <c r="S21" s="40" t="s">
        <v>3</v>
      </c>
      <c r="T21" s="19" t="s">
        <v>5</v>
      </c>
      <c r="U21" s="29">
        <v>3</v>
      </c>
      <c r="V21" s="46">
        <v>1</v>
      </c>
    </row>
    <row r="22" spans="1:32" ht="12" customHeight="1" x14ac:dyDescent="0.25">
      <c r="A22" s="1">
        <v>18</v>
      </c>
      <c r="B22" s="28" t="s">
        <v>4</v>
      </c>
      <c r="C22" s="40" t="s">
        <v>6</v>
      </c>
      <c r="D22" s="19" t="s">
        <v>2</v>
      </c>
      <c r="E22" s="19" t="s">
        <v>8</v>
      </c>
      <c r="F22" s="19" t="s">
        <v>7</v>
      </c>
      <c r="G22" s="29">
        <v>1</v>
      </c>
      <c r="H22" s="1">
        <v>0</v>
      </c>
      <c r="O22" s="1">
        <f t="shared" si="0"/>
        <v>18</v>
      </c>
      <c r="P22" s="28" t="s">
        <v>4</v>
      </c>
      <c r="Q22" s="19" t="s">
        <v>8</v>
      </c>
      <c r="R22" s="19" t="s">
        <v>2</v>
      </c>
      <c r="S22" s="40" t="s">
        <v>6</v>
      </c>
      <c r="T22" s="19" t="s">
        <v>7</v>
      </c>
      <c r="U22" s="29">
        <v>3</v>
      </c>
      <c r="V22" s="46">
        <v>1</v>
      </c>
    </row>
    <row r="23" spans="1:32" ht="12" customHeight="1" x14ac:dyDescent="0.25">
      <c r="A23" s="1">
        <v>19</v>
      </c>
      <c r="B23" s="28" t="s">
        <v>7</v>
      </c>
      <c r="C23" s="19" t="s">
        <v>4</v>
      </c>
      <c r="D23" s="19" t="s">
        <v>8</v>
      </c>
      <c r="E23" s="40" t="s">
        <v>5</v>
      </c>
      <c r="F23" s="19" t="s">
        <v>3</v>
      </c>
      <c r="G23" s="29">
        <v>3</v>
      </c>
      <c r="H23" s="1">
        <v>0</v>
      </c>
      <c r="O23" s="1">
        <f t="shared" si="0"/>
        <v>19</v>
      </c>
      <c r="P23" s="28" t="s">
        <v>7</v>
      </c>
      <c r="Q23" s="40" t="s">
        <v>5</v>
      </c>
      <c r="R23" s="19" t="s">
        <v>8</v>
      </c>
      <c r="S23" s="19" t="s">
        <v>4</v>
      </c>
      <c r="T23" s="19" t="s">
        <v>3</v>
      </c>
      <c r="U23" s="29">
        <v>1</v>
      </c>
      <c r="V23" s="46">
        <v>1</v>
      </c>
    </row>
    <row r="24" spans="1:32" ht="12" customHeight="1" x14ac:dyDescent="0.25">
      <c r="A24" s="1">
        <v>20</v>
      </c>
      <c r="B24" s="28" t="s">
        <v>6</v>
      </c>
      <c r="C24" s="19" t="s">
        <v>8</v>
      </c>
      <c r="D24" s="40" t="s">
        <v>4</v>
      </c>
      <c r="E24" s="19" t="s">
        <v>5</v>
      </c>
      <c r="F24" s="19" t="s">
        <v>3</v>
      </c>
      <c r="G24" s="29">
        <v>2</v>
      </c>
      <c r="H24" s="1">
        <v>0</v>
      </c>
      <c r="O24" s="1">
        <f t="shared" si="0"/>
        <v>20</v>
      </c>
      <c r="P24" s="28" t="s">
        <v>6</v>
      </c>
      <c r="Q24" s="19" t="s">
        <v>5</v>
      </c>
      <c r="R24" s="40" t="s">
        <v>4</v>
      </c>
      <c r="S24" s="19" t="s">
        <v>8</v>
      </c>
      <c r="T24" s="19" t="s">
        <v>3</v>
      </c>
      <c r="U24" s="29">
        <v>2</v>
      </c>
      <c r="V24" s="46">
        <v>1</v>
      </c>
    </row>
    <row r="25" spans="1:32" ht="12" customHeight="1" x14ac:dyDescent="0.25">
      <c r="A25" s="1">
        <v>21</v>
      </c>
      <c r="B25" s="28" t="s">
        <v>7</v>
      </c>
      <c r="C25" s="40" t="s">
        <v>5</v>
      </c>
      <c r="D25" s="19" t="s">
        <v>8</v>
      </c>
      <c r="E25" s="19" t="s">
        <v>3</v>
      </c>
      <c r="F25" s="19" t="s">
        <v>4</v>
      </c>
      <c r="G25" s="29">
        <v>1</v>
      </c>
      <c r="H25" s="1">
        <v>0</v>
      </c>
      <c r="O25" s="1">
        <f t="shared" si="0"/>
        <v>21</v>
      </c>
      <c r="P25" s="28" t="s">
        <v>4</v>
      </c>
      <c r="Q25" s="19" t="s">
        <v>3</v>
      </c>
      <c r="R25" s="19" t="s">
        <v>8</v>
      </c>
      <c r="S25" s="19" t="s">
        <v>5</v>
      </c>
      <c r="T25" s="40" t="s">
        <v>4</v>
      </c>
      <c r="U25" s="29">
        <v>4</v>
      </c>
      <c r="V25" s="46">
        <v>1</v>
      </c>
    </row>
    <row r="26" spans="1:32" ht="12" customHeight="1" x14ac:dyDescent="0.25">
      <c r="A26" s="1">
        <v>22</v>
      </c>
      <c r="B26" s="28" t="s">
        <v>4</v>
      </c>
      <c r="C26" s="19" t="s">
        <v>2</v>
      </c>
      <c r="D26" s="19" t="s">
        <v>8</v>
      </c>
      <c r="E26" s="40" t="s">
        <v>6</v>
      </c>
      <c r="F26" s="19" t="s">
        <v>7</v>
      </c>
      <c r="G26" s="29">
        <v>3</v>
      </c>
      <c r="H26" s="1">
        <v>0</v>
      </c>
      <c r="O26" s="1">
        <f t="shared" si="0"/>
        <v>22</v>
      </c>
      <c r="P26" s="28" t="s">
        <v>5</v>
      </c>
      <c r="Q26" s="19" t="s">
        <v>6</v>
      </c>
      <c r="R26" s="19" t="s">
        <v>8</v>
      </c>
      <c r="S26" s="19" t="s">
        <v>2</v>
      </c>
      <c r="T26" s="40" t="s">
        <v>7</v>
      </c>
      <c r="U26" s="29">
        <v>4</v>
      </c>
      <c r="V26" s="46">
        <v>1</v>
      </c>
    </row>
    <row r="27" spans="1:32" ht="12" customHeight="1" x14ac:dyDescent="0.25">
      <c r="A27" s="1">
        <v>23</v>
      </c>
      <c r="B27" s="28" t="s">
        <v>6</v>
      </c>
      <c r="C27" s="19" t="s">
        <v>8</v>
      </c>
      <c r="D27" s="40" t="s">
        <v>4</v>
      </c>
      <c r="E27" s="19" t="s">
        <v>3</v>
      </c>
      <c r="F27" s="19" t="s">
        <v>5</v>
      </c>
      <c r="G27" s="29">
        <v>2</v>
      </c>
      <c r="H27" s="1">
        <v>0</v>
      </c>
      <c r="O27" s="1">
        <f t="shared" si="0"/>
        <v>23</v>
      </c>
      <c r="P27" s="28" t="s">
        <v>4</v>
      </c>
      <c r="Q27" s="19" t="s">
        <v>3</v>
      </c>
      <c r="R27" s="40" t="s">
        <v>4</v>
      </c>
      <c r="S27" s="19" t="s">
        <v>8</v>
      </c>
      <c r="T27" s="19" t="s">
        <v>5</v>
      </c>
      <c r="U27" s="29">
        <v>2</v>
      </c>
      <c r="V27" s="46">
        <v>1</v>
      </c>
      <c r="AA27" s="22"/>
      <c r="AF27"/>
    </row>
    <row r="28" spans="1:32" ht="12" customHeight="1" x14ac:dyDescent="0.25">
      <c r="A28" s="1">
        <v>24</v>
      </c>
      <c r="B28" s="28" t="s">
        <v>4</v>
      </c>
      <c r="C28" s="40" t="s">
        <v>6</v>
      </c>
      <c r="D28" s="19" t="s">
        <v>8</v>
      </c>
      <c r="E28" s="19" t="s">
        <v>2</v>
      </c>
      <c r="F28" s="19" t="s">
        <v>7</v>
      </c>
      <c r="G28" s="29">
        <v>1</v>
      </c>
      <c r="H28" s="1">
        <v>0</v>
      </c>
      <c r="O28" s="1">
        <f t="shared" si="0"/>
        <v>24</v>
      </c>
      <c r="P28" s="28" t="s">
        <v>5</v>
      </c>
      <c r="Q28" s="19" t="s">
        <v>2</v>
      </c>
      <c r="R28" s="19" t="s">
        <v>8</v>
      </c>
      <c r="S28" s="19" t="s">
        <v>6</v>
      </c>
      <c r="T28" s="40" t="s">
        <v>7</v>
      </c>
      <c r="U28" s="29">
        <v>4</v>
      </c>
      <c r="V28" s="46">
        <v>1</v>
      </c>
      <c r="AA28" s="22"/>
      <c r="AF28"/>
    </row>
    <row r="29" spans="1:32" ht="12" customHeight="1" x14ac:dyDescent="0.25">
      <c r="A29" s="1">
        <v>25</v>
      </c>
      <c r="B29" s="28" t="s">
        <v>5</v>
      </c>
      <c r="C29" s="19" t="s">
        <v>2</v>
      </c>
      <c r="D29" s="40" t="s">
        <v>7</v>
      </c>
      <c r="E29" s="19" t="s">
        <v>6</v>
      </c>
      <c r="F29" s="19" t="s">
        <v>8</v>
      </c>
      <c r="G29" s="29">
        <v>2</v>
      </c>
      <c r="H29" s="1">
        <v>0</v>
      </c>
      <c r="O29" s="1">
        <f t="shared" si="0"/>
        <v>25</v>
      </c>
      <c r="P29" s="28" t="s">
        <v>3</v>
      </c>
      <c r="Q29" s="19" t="s">
        <v>6</v>
      </c>
      <c r="R29" s="19" t="s">
        <v>7</v>
      </c>
      <c r="S29" s="40" t="s">
        <v>2</v>
      </c>
      <c r="T29" s="19" t="s">
        <v>8</v>
      </c>
      <c r="U29" s="29">
        <v>3</v>
      </c>
      <c r="V29" s="46">
        <v>1</v>
      </c>
      <c r="AA29" s="22"/>
      <c r="AF29"/>
    </row>
    <row r="30" spans="1:32" ht="12" customHeight="1" x14ac:dyDescent="0.25">
      <c r="A30" s="1">
        <v>26</v>
      </c>
      <c r="B30" s="28" t="s">
        <v>3</v>
      </c>
      <c r="C30" s="19" t="s">
        <v>8</v>
      </c>
      <c r="D30" s="19" t="s">
        <v>6</v>
      </c>
      <c r="E30" s="19" t="s">
        <v>7</v>
      </c>
      <c r="F30" s="40" t="s">
        <v>2</v>
      </c>
      <c r="G30" s="29">
        <v>4</v>
      </c>
      <c r="H30" s="1">
        <v>0</v>
      </c>
      <c r="O30" s="1">
        <f t="shared" si="0"/>
        <v>26</v>
      </c>
      <c r="P30" s="28" t="s">
        <v>6</v>
      </c>
      <c r="Q30" s="19" t="s">
        <v>7</v>
      </c>
      <c r="R30" s="40" t="s">
        <v>6</v>
      </c>
      <c r="S30" s="19" t="s">
        <v>8</v>
      </c>
      <c r="T30" s="19" t="s">
        <v>2</v>
      </c>
      <c r="U30" s="29">
        <v>2</v>
      </c>
      <c r="V30" s="46">
        <v>1</v>
      </c>
      <c r="AA30" s="22"/>
      <c r="AF30"/>
    </row>
    <row r="31" spans="1:32" ht="12" customHeight="1" x14ac:dyDescent="0.25">
      <c r="A31" s="1">
        <v>27</v>
      </c>
      <c r="B31" s="28" t="s">
        <v>6</v>
      </c>
      <c r="C31" s="40" t="s">
        <v>4</v>
      </c>
      <c r="D31" s="19" t="s">
        <v>8</v>
      </c>
      <c r="E31" s="19" t="s">
        <v>5</v>
      </c>
      <c r="F31" s="19" t="s">
        <v>3</v>
      </c>
      <c r="G31" s="29">
        <v>1</v>
      </c>
      <c r="H31" s="1">
        <v>0</v>
      </c>
      <c r="O31" s="1">
        <f t="shared" si="0"/>
        <v>27</v>
      </c>
      <c r="P31" s="28" t="s">
        <v>5</v>
      </c>
      <c r="Q31" s="40" t="s">
        <v>5</v>
      </c>
      <c r="R31" s="19" t="s">
        <v>8</v>
      </c>
      <c r="S31" s="19" t="s">
        <v>4</v>
      </c>
      <c r="T31" s="19" t="s">
        <v>3</v>
      </c>
      <c r="U31" s="29">
        <v>1</v>
      </c>
      <c r="V31" s="46">
        <v>1</v>
      </c>
      <c r="AA31" s="22"/>
      <c r="AF31"/>
    </row>
    <row r="32" spans="1:32" ht="12" customHeight="1" x14ac:dyDescent="0.25">
      <c r="A32" s="1">
        <v>28</v>
      </c>
      <c r="B32" s="28" t="s">
        <v>5</v>
      </c>
      <c r="C32" s="19" t="s">
        <v>8</v>
      </c>
      <c r="D32" s="40" t="s">
        <v>7</v>
      </c>
      <c r="E32" s="19" t="s">
        <v>6</v>
      </c>
      <c r="F32" s="19" t="s">
        <v>2</v>
      </c>
      <c r="G32" s="29">
        <v>2</v>
      </c>
      <c r="H32" s="1">
        <v>0</v>
      </c>
      <c r="O32" s="1">
        <f t="shared" si="0"/>
        <v>28</v>
      </c>
      <c r="P32" s="28" t="s">
        <v>2</v>
      </c>
      <c r="Q32" s="19" t="s">
        <v>6</v>
      </c>
      <c r="R32" s="19" t="s">
        <v>7</v>
      </c>
      <c r="S32" s="19" t="s">
        <v>8</v>
      </c>
      <c r="T32" s="40" t="s">
        <v>2</v>
      </c>
      <c r="U32" s="29">
        <v>4</v>
      </c>
      <c r="V32" s="46">
        <v>1</v>
      </c>
      <c r="AA32" s="22"/>
      <c r="AF32"/>
    </row>
    <row r="33" spans="1:32" ht="12" customHeight="1" x14ac:dyDescent="0.25">
      <c r="A33" s="1">
        <v>29</v>
      </c>
      <c r="B33" s="28" t="s">
        <v>2</v>
      </c>
      <c r="C33" s="19" t="s">
        <v>5</v>
      </c>
      <c r="D33" s="40" t="s">
        <v>3</v>
      </c>
      <c r="E33" s="19" t="s">
        <v>4</v>
      </c>
      <c r="F33" s="19" t="s">
        <v>8</v>
      </c>
      <c r="G33" s="29">
        <v>2</v>
      </c>
      <c r="H33" s="1">
        <v>0</v>
      </c>
      <c r="O33" s="1">
        <f t="shared" si="0"/>
        <v>29</v>
      </c>
      <c r="P33" s="28" t="s">
        <v>4</v>
      </c>
      <c r="Q33" s="40" t="s">
        <v>4</v>
      </c>
      <c r="R33" s="19" t="s">
        <v>3</v>
      </c>
      <c r="S33" s="19" t="s">
        <v>5</v>
      </c>
      <c r="T33" s="19" t="s">
        <v>8</v>
      </c>
      <c r="U33" s="29">
        <v>1</v>
      </c>
      <c r="V33" s="46">
        <v>1</v>
      </c>
      <c r="AA33" s="22"/>
      <c r="AF33"/>
    </row>
    <row r="34" spans="1:32" ht="12" customHeight="1" x14ac:dyDescent="0.25">
      <c r="A34" s="1">
        <v>30</v>
      </c>
      <c r="B34" s="28" t="s">
        <v>4</v>
      </c>
      <c r="C34" s="19" t="s">
        <v>8</v>
      </c>
      <c r="D34" s="19" t="s">
        <v>7</v>
      </c>
      <c r="E34" s="19" t="s">
        <v>2</v>
      </c>
      <c r="F34" s="40" t="s">
        <v>6</v>
      </c>
      <c r="G34" s="29">
        <v>4</v>
      </c>
      <c r="H34" s="1">
        <v>0</v>
      </c>
      <c r="O34" s="1">
        <f t="shared" si="0"/>
        <v>30</v>
      </c>
      <c r="P34" s="28" t="s">
        <v>7</v>
      </c>
      <c r="Q34" s="19" t="s">
        <v>2</v>
      </c>
      <c r="R34" s="40" t="s">
        <v>7</v>
      </c>
      <c r="S34" s="19" t="s">
        <v>8</v>
      </c>
      <c r="T34" s="19" t="s">
        <v>6</v>
      </c>
      <c r="U34" s="29">
        <v>2</v>
      </c>
      <c r="V34" s="46">
        <v>1</v>
      </c>
      <c r="AA34" s="22"/>
      <c r="AF34"/>
    </row>
    <row r="35" spans="1:32" ht="12" customHeight="1" x14ac:dyDescent="0.25">
      <c r="A35" s="1">
        <v>31</v>
      </c>
      <c r="B35" s="28" t="s">
        <v>5</v>
      </c>
      <c r="C35" s="40" t="s">
        <v>7</v>
      </c>
      <c r="D35" s="19" t="s">
        <v>6</v>
      </c>
      <c r="E35" s="19" t="s">
        <v>8</v>
      </c>
      <c r="F35" s="19" t="s">
        <v>2</v>
      </c>
      <c r="G35" s="29">
        <v>1</v>
      </c>
      <c r="H35" s="1">
        <v>0</v>
      </c>
      <c r="O35" s="1">
        <f t="shared" si="0"/>
        <v>31</v>
      </c>
      <c r="P35" s="28" t="s">
        <v>5</v>
      </c>
      <c r="Q35" s="19" t="s">
        <v>8</v>
      </c>
      <c r="R35" s="19" t="s">
        <v>6</v>
      </c>
      <c r="S35" s="40" t="s">
        <v>7</v>
      </c>
      <c r="T35" s="19" t="s">
        <v>2</v>
      </c>
      <c r="U35" s="29">
        <v>3</v>
      </c>
      <c r="V35" s="46">
        <v>1</v>
      </c>
      <c r="AA35" s="22"/>
      <c r="AF35"/>
    </row>
    <row r="36" spans="1:32" ht="12" customHeight="1" x14ac:dyDescent="0.25">
      <c r="A36" s="1">
        <v>32</v>
      </c>
      <c r="B36" s="28" t="s">
        <v>7</v>
      </c>
      <c r="C36" s="19" t="s">
        <v>8</v>
      </c>
      <c r="D36" s="19" t="s">
        <v>4</v>
      </c>
      <c r="E36" s="19" t="s">
        <v>3</v>
      </c>
      <c r="F36" s="40" t="s">
        <v>5</v>
      </c>
      <c r="G36" s="29">
        <v>4</v>
      </c>
      <c r="H36" s="1">
        <v>0</v>
      </c>
      <c r="O36" s="1">
        <f t="shared" si="0"/>
        <v>32</v>
      </c>
      <c r="P36" s="28" t="s">
        <v>3</v>
      </c>
      <c r="Q36" s="40" t="s">
        <v>3</v>
      </c>
      <c r="R36" s="19" t="s">
        <v>4</v>
      </c>
      <c r="S36" s="19" t="s">
        <v>8</v>
      </c>
      <c r="T36" s="19" t="s">
        <v>5</v>
      </c>
      <c r="U36" s="29">
        <v>1</v>
      </c>
      <c r="V36" s="46">
        <v>1</v>
      </c>
      <c r="AA36" s="22"/>
      <c r="AF36"/>
    </row>
    <row r="37" spans="1:32" ht="12" customHeight="1" x14ac:dyDescent="0.25">
      <c r="A37" s="1">
        <v>33</v>
      </c>
      <c r="B37" s="28" t="s">
        <v>3</v>
      </c>
      <c r="C37" s="19" t="s">
        <v>6</v>
      </c>
      <c r="D37" s="40" t="s">
        <v>2</v>
      </c>
      <c r="E37" s="19" t="s">
        <v>7</v>
      </c>
      <c r="F37" s="19" t="s">
        <v>8</v>
      </c>
      <c r="G37" s="29">
        <v>2</v>
      </c>
      <c r="H37" s="1">
        <v>0</v>
      </c>
      <c r="O37" s="1">
        <f t="shared" si="0"/>
        <v>33</v>
      </c>
      <c r="P37" s="28" t="s">
        <v>2</v>
      </c>
      <c r="Q37" s="19" t="s">
        <v>7</v>
      </c>
      <c r="R37" s="40" t="s">
        <v>2</v>
      </c>
      <c r="S37" s="19" t="s">
        <v>6</v>
      </c>
      <c r="T37" s="19" t="s">
        <v>8</v>
      </c>
      <c r="U37" s="29">
        <v>2</v>
      </c>
      <c r="V37" s="46">
        <v>1</v>
      </c>
      <c r="AA37" s="22"/>
      <c r="AF37"/>
    </row>
    <row r="38" spans="1:32" ht="12" customHeight="1" x14ac:dyDescent="0.25">
      <c r="A38" s="1">
        <v>34</v>
      </c>
      <c r="B38" s="28" t="s">
        <v>3</v>
      </c>
      <c r="C38" s="40" t="s">
        <v>2</v>
      </c>
      <c r="D38" s="19" t="s">
        <v>8</v>
      </c>
      <c r="E38" s="19" t="s">
        <v>7</v>
      </c>
      <c r="F38" s="19" t="s">
        <v>6</v>
      </c>
      <c r="G38" s="29">
        <v>1</v>
      </c>
      <c r="H38" s="1">
        <v>0</v>
      </c>
      <c r="O38" s="1">
        <f t="shared" si="0"/>
        <v>34</v>
      </c>
      <c r="P38" s="28" t="s">
        <v>4</v>
      </c>
      <c r="Q38" s="19" t="s">
        <v>7</v>
      </c>
      <c r="R38" s="19" t="s">
        <v>8</v>
      </c>
      <c r="S38" s="19" t="s">
        <v>2</v>
      </c>
      <c r="T38" s="40" t="s">
        <v>6</v>
      </c>
      <c r="U38" s="29">
        <v>4</v>
      </c>
      <c r="V38" s="46">
        <v>1</v>
      </c>
      <c r="AA38" s="22"/>
      <c r="AF38"/>
    </row>
    <row r="39" spans="1:32" ht="12" customHeight="1" x14ac:dyDescent="0.25">
      <c r="A39" s="1">
        <v>35</v>
      </c>
      <c r="B39" s="28" t="s">
        <v>4</v>
      </c>
      <c r="C39" s="19" t="s">
        <v>7</v>
      </c>
      <c r="D39" s="40" t="s">
        <v>6</v>
      </c>
      <c r="E39" s="19" t="s">
        <v>2</v>
      </c>
      <c r="F39" s="19" t="s">
        <v>8</v>
      </c>
      <c r="G39" s="29">
        <v>2</v>
      </c>
      <c r="H39" s="1">
        <v>0</v>
      </c>
      <c r="I39" s="4"/>
      <c r="J39" s="4"/>
      <c r="K39" s="4"/>
      <c r="L39" s="4"/>
      <c r="M39" s="4"/>
      <c r="N39" s="4"/>
      <c r="O39" s="1">
        <f t="shared" si="0"/>
        <v>35</v>
      </c>
      <c r="P39" s="28" t="s">
        <v>7</v>
      </c>
      <c r="Q39" s="19" t="s">
        <v>2</v>
      </c>
      <c r="R39" s="19" t="s">
        <v>6</v>
      </c>
      <c r="S39" s="40" t="s">
        <v>7</v>
      </c>
      <c r="T39" s="19" t="s">
        <v>8</v>
      </c>
      <c r="U39" s="29">
        <v>3</v>
      </c>
      <c r="V39" s="46">
        <v>1</v>
      </c>
    </row>
    <row r="40" spans="1:32" ht="12" customHeight="1" x14ac:dyDescent="0.25">
      <c r="A40" s="1">
        <v>36</v>
      </c>
      <c r="B40" s="28" t="s">
        <v>5</v>
      </c>
      <c r="C40" s="19" t="s">
        <v>2</v>
      </c>
      <c r="D40" s="40" t="s">
        <v>7</v>
      </c>
      <c r="E40" s="19" t="s">
        <v>8</v>
      </c>
      <c r="F40" s="19" t="s">
        <v>6</v>
      </c>
      <c r="G40" s="29">
        <v>2</v>
      </c>
      <c r="H40" s="1">
        <v>0</v>
      </c>
      <c r="O40" s="1">
        <f t="shared" si="0"/>
        <v>36</v>
      </c>
      <c r="P40" s="28" t="s">
        <v>2</v>
      </c>
      <c r="Q40" s="19" t="s">
        <v>8</v>
      </c>
      <c r="R40" s="19" t="s">
        <v>7</v>
      </c>
      <c r="S40" s="40" t="s">
        <v>2</v>
      </c>
      <c r="T40" s="19" t="s">
        <v>6</v>
      </c>
      <c r="U40" s="29">
        <v>3</v>
      </c>
      <c r="V40" s="46">
        <v>1</v>
      </c>
    </row>
    <row r="41" spans="1:32" ht="12" customHeight="1" x14ac:dyDescent="0.25">
      <c r="A41" s="33"/>
      <c r="B41" s="29"/>
      <c r="C41" s="29"/>
      <c r="D41" s="29"/>
      <c r="E41" s="29"/>
      <c r="F41" s="29"/>
      <c r="G41" s="29"/>
      <c r="H41" s="1"/>
      <c r="O41" s="1">
        <f t="shared" si="0"/>
        <v>37</v>
      </c>
      <c r="P41" s="28" t="s">
        <v>2</v>
      </c>
      <c r="Q41" s="19" t="s">
        <v>8</v>
      </c>
      <c r="R41" s="40" t="s">
        <v>3</v>
      </c>
      <c r="S41" s="19" t="s">
        <v>4</v>
      </c>
      <c r="T41" s="19" t="s">
        <v>5</v>
      </c>
      <c r="U41" s="29">
        <v>2</v>
      </c>
      <c r="V41" s="46">
        <v>1</v>
      </c>
      <c r="Y41">
        <v>37</v>
      </c>
    </row>
    <row r="42" spans="1:32" ht="12" customHeight="1" x14ac:dyDescent="0.25">
      <c r="A42" s="34" t="s">
        <v>3</v>
      </c>
      <c r="B42" s="35">
        <f>COUNTIF(B5:B40,"B1")</f>
        <v>6</v>
      </c>
      <c r="C42" s="36" t="s">
        <v>2</v>
      </c>
      <c r="D42" s="36" t="s">
        <v>2</v>
      </c>
      <c r="E42" s="36" t="s">
        <v>2</v>
      </c>
      <c r="F42" s="36" t="s">
        <v>2</v>
      </c>
      <c r="G42" s="1"/>
      <c r="H42" s="1"/>
      <c r="O42" s="1">
        <f t="shared" si="0"/>
        <v>38</v>
      </c>
      <c r="P42" s="28" t="s">
        <v>6</v>
      </c>
      <c r="Q42" s="19" t="s">
        <v>2</v>
      </c>
      <c r="R42" s="19" t="s">
        <v>7</v>
      </c>
      <c r="S42" s="19" t="s">
        <v>8</v>
      </c>
      <c r="T42" s="40" t="s">
        <v>6</v>
      </c>
      <c r="U42" s="29">
        <v>4</v>
      </c>
      <c r="V42" s="46">
        <v>1</v>
      </c>
      <c r="Y42">
        <v>38</v>
      </c>
    </row>
    <row r="43" spans="1:32" ht="12" customHeight="1" x14ac:dyDescent="0.25">
      <c r="A43" s="34" t="s">
        <v>4</v>
      </c>
      <c r="B43" s="35">
        <f>COUNTIF(B5:B40,"B2")</f>
        <v>6</v>
      </c>
      <c r="C43" s="29">
        <f>COUNTIF(C5:C40,"A1")</f>
        <v>5</v>
      </c>
      <c r="D43" s="29">
        <f>COUNTIF(D5:D40,"A1")</f>
        <v>5</v>
      </c>
      <c r="E43" s="29">
        <f>COUNTIF(E5:E40,"A1")</f>
        <v>4</v>
      </c>
      <c r="F43" s="29">
        <f>COUNTIF(F5:F40,"A1")</f>
        <v>4</v>
      </c>
      <c r="G43" s="37">
        <f>SUM(C43:F43)</f>
        <v>18</v>
      </c>
      <c r="H43" s="1"/>
      <c r="O43" s="1">
        <f t="shared" si="0"/>
        <v>39</v>
      </c>
      <c r="P43" s="28" t="s">
        <v>3</v>
      </c>
      <c r="Q43" s="19" t="s">
        <v>8</v>
      </c>
      <c r="R43" s="19" t="s">
        <v>6</v>
      </c>
      <c r="S43" s="19" t="s">
        <v>7</v>
      </c>
      <c r="T43" s="40" t="s">
        <v>2</v>
      </c>
      <c r="U43" s="29">
        <v>4</v>
      </c>
      <c r="V43" s="46">
        <v>1</v>
      </c>
      <c r="Y43">
        <v>39</v>
      </c>
    </row>
    <row r="44" spans="1:32" ht="12" customHeight="1" x14ac:dyDescent="0.25">
      <c r="A44" s="34" t="s">
        <v>5</v>
      </c>
      <c r="B44" s="35">
        <f>COUNTIF(B5:B40,"B3")</f>
        <v>6</v>
      </c>
      <c r="C44" s="36" t="s">
        <v>6</v>
      </c>
      <c r="D44" s="36" t="s">
        <v>6</v>
      </c>
      <c r="E44" s="36" t="s">
        <v>6</v>
      </c>
      <c r="F44" s="36" t="s">
        <v>6</v>
      </c>
      <c r="G44" s="1"/>
      <c r="H44" s="1"/>
      <c r="O44" s="1">
        <f t="shared" si="0"/>
        <v>40</v>
      </c>
      <c r="P44" s="28" t="s">
        <v>4</v>
      </c>
      <c r="Q44" s="19" t="s">
        <v>3</v>
      </c>
      <c r="R44" s="19" t="s">
        <v>8</v>
      </c>
      <c r="S44" s="40" t="s">
        <v>4</v>
      </c>
      <c r="T44" s="19" t="s">
        <v>5</v>
      </c>
      <c r="U44" s="29">
        <v>3</v>
      </c>
      <c r="V44" s="46">
        <v>1</v>
      </c>
      <c r="Y44">
        <v>40</v>
      </c>
    </row>
    <row r="45" spans="1:32" ht="12" customHeight="1" x14ac:dyDescent="0.25">
      <c r="A45" s="34" t="s">
        <v>2</v>
      </c>
      <c r="B45" s="35">
        <f>COUNTIF(B5:B40,"A1")</f>
        <v>6</v>
      </c>
      <c r="C45" s="29">
        <f>COUNTIF(C5:C40,"A2")</f>
        <v>5</v>
      </c>
      <c r="D45" s="29">
        <f>COUNTIF(D5:D40,"A2")</f>
        <v>4</v>
      </c>
      <c r="E45" s="29">
        <f>COUNTIF(E5:E40,"A2")</f>
        <v>5</v>
      </c>
      <c r="F45" s="29">
        <f>COUNTIF(F5:F40,"A2")</f>
        <v>4</v>
      </c>
      <c r="G45" s="37">
        <f>SUM(C45:F45)</f>
        <v>18</v>
      </c>
      <c r="H45" s="1"/>
      <c r="O45" s="1">
        <f t="shared" si="0"/>
        <v>41</v>
      </c>
      <c r="P45" s="28" t="s">
        <v>3</v>
      </c>
      <c r="Q45" s="19" t="s">
        <v>7</v>
      </c>
      <c r="R45" s="40" t="s">
        <v>2</v>
      </c>
      <c r="S45" s="19" t="s">
        <v>6</v>
      </c>
      <c r="T45" s="19" t="s">
        <v>8</v>
      </c>
      <c r="U45" s="29">
        <v>2</v>
      </c>
      <c r="V45" s="46">
        <v>1</v>
      </c>
      <c r="Y45">
        <v>41</v>
      </c>
    </row>
    <row r="46" spans="1:32" ht="12" customHeight="1" x14ac:dyDescent="0.25">
      <c r="A46" s="34" t="s">
        <v>6</v>
      </c>
      <c r="B46" s="35">
        <f>COUNTIF(B5:B40,"B2")</f>
        <v>6</v>
      </c>
      <c r="C46" s="36" t="s">
        <v>7</v>
      </c>
      <c r="D46" s="36" t="s">
        <v>7</v>
      </c>
      <c r="E46" s="36" t="s">
        <v>7</v>
      </c>
      <c r="F46" s="36" t="s">
        <v>7</v>
      </c>
      <c r="G46" s="1"/>
      <c r="H46" s="1"/>
      <c r="O46" s="1">
        <f t="shared" si="0"/>
        <v>42</v>
      </c>
      <c r="P46" s="28" t="s">
        <v>5</v>
      </c>
      <c r="Q46" s="19" t="s">
        <v>8</v>
      </c>
      <c r="R46" s="19" t="s">
        <v>3</v>
      </c>
      <c r="S46" s="19" t="s">
        <v>4</v>
      </c>
      <c r="T46" s="40" t="s">
        <v>5</v>
      </c>
      <c r="U46" s="29">
        <v>4</v>
      </c>
      <c r="V46" s="46">
        <v>1</v>
      </c>
      <c r="Y46">
        <v>42</v>
      </c>
    </row>
    <row r="47" spans="1:32" ht="12" customHeight="1" x14ac:dyDescent="0.25">
      <c r="A47" s="34" t="s">
        <v>7</v>
      </c>
      <c r="B47" s="35">
        <f>COUNTIF(B5:B40,"A3")</f>
        <v>6</v>
      </c>
      <c r="C47" s="29">
        <f>COUNTIF(C5:C40,"A3")</f>
        <v>4</v>
      </c>
      <c r="D47" s="29">
        <f>COUNTIF(D5:D40,"A3")</f>
        <v>4</v>
      </c>
      <c r="E47" s="29">
        <f>COUNTIF(E5:E40,"A3")</f>
        <v>5</v>
      </c>
      <c r="F47" s="29">
        <f>COUNTIF(F5:F40,"A3")</f>
        <v>5</v>
      </c>
      <c r="G47" s="37">
        <f>SUM(C47:F47)</f>
        <v>18</v>
      </c>
      <c r="H47" s="1"/>
      <c r="O47" s="1">
        <f t="shared" si="0"/>
        <v>43</v>
      </c>
      <c r="P47" s="28" t="s">
        <v>2</v>
      </c>
      <c r="Q47" s="19" t="s">
        <v>5</v>
      </c>
      <c r="R47" s="19" t="s">
        <v>8</v>
      </c>
      <c r="S47" s="19" t="s">
        <v>4</v>
      </c>
      <c r="T47" s="40" t="s">
        <v>3</v>
      </c>
      <c r="U47" s="29">
        <v>4</v>
      </c>
      <c r="V47" s="46">
        <v>1</v>
      </c>
      <c r="Y47">
        <v>43</v>
      </c>
    </row>
    <row r="48" spans="1:32" ht="12" customHeight="1" x14ac:dyDescent="0.25">
      <c r="A48" s="33"/>
      <c r="B48" s="29"/>
      <c r="C48" s="36" t="s">
        <v>3</v>
      </c>
      <c r="D48" s="36" t="s">
        <v>3</v>
      </c>
      <c r="E48" s="36" t="s">
        <v>3</v>
      </c>
      <c r="F48" s="36" t="s">
        <v>3</v>
      </c>
      <c r="G48" s="1"/>
      <c r="H48" s="1"/>
      <c r="O48" s="1">
        <f t="shared" si="0"/>
        <v>44</v>
      </c>
      <c r="P48" s="28" t="s">
        <v>7</v>
      </c>
      <c r="Q48" s="19" t="s">
        <v>8</v>
      </c>
      <c r="R48" s="19" t="s">
        <v>4</v>
      </c>
      <c r="S48" s="40" t="s">
        <v>5</v>
      </c>
      <c r="T48" s="19" t="s">
        <v>3</v>
      </c>
      <c r="U48" s="29">
        <v>3</v>
      </c>
      <c r="V48" s="46">
        <v>1</v>
      </c>
      <c r="Y48">
        <v>44</v>
      </c>
    </row>
    <row r="49" spans="1:32" ht="12" customHeight="1" x14ac:dyDescent="0.25">
      <c r="A49" s="33"/>
      <c r="B49" s="29"/>
      <c r="C49" s="29">
        <f>COUNTIF(C5:C40,"B1")</f>
        <v>4</v>
      </c>
      <c r="D49" s="29">
        <f>COUNTIF(D5:D36,"B1")</f>
        <v>4</v>
      </c>
      <c r="E49" s="29">
        <f>COUNTIF(E5:E36,"B1")</f>
        <v>4</v>
      </c>
      <c r="F49" s="29">
        <f>COUNTIF(F5:F36,"B1")</f>
        <v>6</v>
      </c>
      <c r="G49" s="37">
        <f>SUM(C49:F49)</f>
        <v>18</v>
      </c>
      <c r="H49" s="1"/>
      <c r="O49" s="1">
        <f t="shared" si="0"/>
        <v>45</v>
      </c>
      <c r="P49" s="28" t="s">
        <v>2</v>
      </c>
      <c r="Q49" s="19" t="s">
        <v>7</v>
      </c>
      <c r="R49" s="19" t="s">
        <v>6</v>
      </c>
      <c r="S49" s="19" t="s">
        <v>8</v>
      </c>
      <c r="T49" s="40" t="s">
        <v>2</v>
      </c>
      <c r="U49" s="29">
        <v>4</v>
      </c>
      <c r="V49" s="46">
        <v>1</v>
      </c>
      <c r="Y49">
        <v>45</v>
      </c>
    </row>
    <row r="50" spans="1:32" ht="12" customHeight="1" x14ac:dyDescent="0.25">
      <c r="A50" s="33"/>
      <c r="B50" s="29"/>
      <c r="C50" s="36" t="s">
        <v>4</v>
      </c>
      <c r="D50" s="36" t="s">
        <v>4</v>
      </c>
      <c r="E50" s="36" t="s">
        <v>4</v>
      </c>
      <c r="F50" s="36" t="s">
        <v>4</v>
      </c>
      <c r="G50" s="1"/>
      <c r="H50" s="1"/>
      <c r="O50" s="1">
        <f t="shared" si="0"/>
        <v>46</v>
      </c>
      <c r="P50" s="28" t="s">
        <v>5</v>
      </c>
      <c r="Q50" s="19" t="s">
        <v>4</v>
      </c>
      <c r="R50" s="40" t="s">
        <v>5</v>
      </c>
      <c r="S50" s="19" t="s">
        <v>3</v>
      </c>
      <c r="T50" s="19" t="s">
        <v>8</v>
      </c>
      <c r="U50" s="29">
        <v>2</v>
      </c>
      <c r="V50" s="46">
        <v>1</v>
      </c>
      <c r="Y50">
        <v>46</v>
      </c>
    </row>
    <row r="51" spans="1:32" ht="12" customHeight="1" x14ac:dyDescent="0.25">
      <c r="A51" s="33"/>
      <c r="B51" s="29"/>
      <c r="C51" s="29">
        <f>COUNTIF(C5:C40,"B2")</f>
        <v>4</v>
      </c>
      <c r="D51" s="29">
        <f>COUNTIF(D5:D40,"B2")</f>
        <v>6</v>
      </c>
      <c r="E51" s="29">
        <f>COUNTIF(E5:E40,"B2")</f>
        <v>5</v>
      </c>
      <c r="F51" s="29">
        <f>COUNTIF(F5:F40,"B2")</f>
        <v>3</v>
      </c>
      <c r="G51" s="37">
        <f>SUM(C51:F51)</f>
        <v>18</v>
      </c>
      <c r="H51" s="1"/>
      <c r="O51" s="1">
        <f t="shared" si="0"/>
        <v>47</v>
      </c>
      <c r="P51" s="28" t="s">
        <v>6</v>
      </c>
      <c r="Q51" s="19" t="s">
        <v>7</v>
      </c>
      <c r="R51" s="40" t="s">
        <v>6</v>
      </c>
      <c r="S51" s="19" t="s">
        <v>2</v>
      </c>
      <c r="T51" s="19" t="s">
        <v>8</v>
      </c>
      <c r="U51" s="29">
        <v>2</v>
      </c>
      <c r="V51" s="46">
        <v>1</v>
      </c>
      <c r="Y51">
        <v>47</v>
      </c>
    </row>
    <row r="52" spans="1:32" ht="12" customHeight="1" x14ac:dyDescent="0.25">
      <c r="A52" s="33"/>
      <c r="B52" s="29"/>
      <c r="C52" s="36" t="s">
        <v>5</v>
      </c>
      <c r="D52" s="36" t="s">
        <v>5</v>
      </c>
      <c r="E52" s="36" t="s">
        <v>5</v>
      </c>
      <c r="F52" s="36" t="s">
        <v>5</v>
      </c>
      <c r="G52" s="1"/>
      <c r="H52" s="1"/>
      <c r="O52" s="1">
        <f t="shared" si="0"/>
        <v>48</v>
      </c>
      <c r="P52" s="28" t="s">
        <v>4</v>
      </c>
      <c r="Q52" s="19" t="s">
        <v>8</v>
      </c>
      <c r="R52" s="19" t="s">
        <v>2</v>
      </c>
      <c r="S52" s="40" t="s">
        <v>6</v>
      </c>
      <c r="T52" s="19" t="s">
        <v>7</v>
      </c>
      <c r="U52" s="29">
        <v>3</v>
      </c>
      <c r="V52" s="46">
        <v>1</v>
      </c>
      <c r="Y52">
        <v>48</v>
      </c>
    </row>
    <row r="53" spans="1:32" ht="12" customHeight="1" x14ac:dyDescent="0.25">
      <c r="A53" s="33"/>
      <c r="B53" s="29"/>
      <c r="C53" s="29">
        <f>COUNTIF(C5:C40,"B3")</f>
        <v>4</v>
      </c>
      <c r="D53" s="29">
        <f>COUNTIF(D5:D40,"B3")</f>
        <v>4</v>
      </c>
      <c r="E53" s="29">
        <f>COUNTIF(E5:E40,"B3")</f>
        <v>6</v>
      </c>
      <c r="F53" s="29">
        <f>COUNTIF(F5:F40,"B3")</f>
        <v>4</v>
      </c>
      <c r="G53" s="37">
        <f>SUM(C53:F53)</f>
        <v>18</v>
      </c>
      <c r="H53" s="1"/>
      <c r="O53" s="1">
        <f t="shared" si="0"/>
        <v>49</v>
      </c>
      <c r="P53" s="28" t="s">
        <v>7</v>
      </c>
      <c r="Q53" s="19" t="s">
        <v>3</v>
      </c>
      <c r="R53" s="19" t="s">
        <v>4</v>
      </c>
      <c r="S53" s="40" t="s">
        <v>5</v>
      </c>
      <c r="T53" s="19" t="s">
        <v>8</v>
      </c>
      <c r="U53" s="29">
        <v>3</v>
      </c>
      <c r="V53" s="46">
        <v>1</v>
      </c>
      <c r="Y53">
        <v>49</v>
      </c>
    </row>
    <row r="54" spans="1:32" ht="12" customHeight="1" x14ac:dyDescent="0.25">
      <c r="O54" s="1">
        <f t="shared" si="0"/>
        <v>50</v>
      </c>
      <c r="P54" s="28" t="s">
        <v>7</v>
      </c>
      <c r="Q54" s="19" t="s">
        <v>2</v>
      </c>
      <c r="R54" s="19" t="s">
        <v>8</v>
      </c>
      <c r="S54" s="19" t="s">
        <v>6</v>
      </c>
      <c r="T54" s="40" t="s">
        <v>7</v>
      </c>
      <c r="U54" s="29">
        <v>4</v>
      </c>
      <c r="V54" s="46">
        <v>1</v>
      </c>
      <c r="Y54">
        <v>50</v>
      </c>
    </row>
    <row r="55" spans="1:32" ht="12" customHeight="1" x14ac:dyDescent="0.25">
      <c r="O55" s="1">
        <f t="shared" si="0"/>
        <v>51</v>
      </c>
      <c r="P55" s="28" t="s">
        <v>6</v>
      </c>
      <c r="Q55" s="19" t="s">
        <v>8</v>
      </c>
      <c r="R55" s="19" t="s">
        <v>5</v>
      </c>
      <c r="S55" s="40" t="s">
        <v>4</v>
      </c>
      <c r="T55" s="19" t="s">
        <v>3</v>
      </c>
      <c r="U55" s="29">
        <v>3</v>
      </c>
      <c r="V55" s="46">
        <v>1</v>
      </c>
      <c r="Y55">
        <v>51</v>
      </c>
    </row>
    <row r="56" spans="1:32" ht="12" customHeight="1" x14ac:dyDescent="0.25">
      <c r="O56" s="1">
        <f t="shared" si="0"/>
        <v>52</v>
      </c>
      <c r="P56" s="28" t="s">
        <v>4</v>
      </c>
      <c r="Q56" s="19" t="s">
        <v>5</v>
      </c>
      <c r="R56" s="19" t="s">
        <v>8</v>
      </c>
      <c r="S56" s="19" t="s">
        <v>3</v>
      </c>
      <c r="T56" s="40" t="s">
        <v>4</v>
      </c>
      <c r="U56" s="29">
        <v>4</v>
      </c>
      <c r="V56" s="46">
        <v>1</v>
      </c>
      <c r="Y56">
        <v>52</v>
      </c>
    </row>
    <row r="57" spans="1:32" ht="12" customHeight="1" x14ac:dyDescent="0.25">
      <c r="O57" s="1">
        <f t="shared" si="0"/>
        <v>53</v>
      </c>
      <c r="P57" s="28" t="s">
        <v>5</v>
      </c>
      <c r="Q57" s="19" t="s">
        <v>8</v>
      </c>
      <c r="R57" s="19" t="s">
        <v>6</v>
      </c>
      <c r="S57" s="40" t="s">
        <v>7</v>
      </c>
      <c r="T57" s="19" t="s">
        <v>2</v>
      </c>
      <c r="U57" s="29">
        <v>3</v>
      </c>
      <c r="V57" s="46">
        <v>1</v>
      </c>
      <c r="Y57">
        <v>53</v>
      </c>
    </row>
    <row r="58" spans="1:32" ht="12" customHeight="1" x14ac:dyDescent="0.25">
      <c r="O58" s="1">
        <f t="shared" si="0"/>
        <v>54</v>
      </c>
      <c r="P58" s="28" t="s">
        <v>3</v>
      </c>
      <c r="Q58" s="19" t="s">
        <v>8</v>
      </c>
      <c r="R58" s="19" t="s">
        <v>7</v>
      </c>
      <c r="S58" s="40" t="s">
        <v>2</v>
      </c>
      <c r="T58" s="19" t="s">
        <v>6</v>
      </c>
      <c r="U58" s="29">
        <v>3</v>
      </c>
      <c r="V58" s="46">
        <v>1</v>
      </c>
      <c r="Y58">
        <v>54</v>
      </c>
    </row>
    <row r="59" spans="1:32" ht="12" customHeight="1" x14ac:dyDescent="0.25">
      <c r="O59" s="33"/>
      <c r="P59" s="29"/>
      <c r="Q59" s="29"/>
      <c r="R59" s="29"/>
      <c r="S59" s="29"/>
      <c r="T59" s="29"/>
      <c r="U59" s="29"/>
      <c r="V59" s="1"/>
    </row>
    <row r="60" spans="1:32" ht="12" customHeight="1" x14ac:dyDescent="0.25">
      <c r="O60" s="34" t="s">
        <v>3</v>
      </c>
      <c r="P60" s="35">
        <f>COUNTIF(P5:P58,"B1")</f>
        <v>9</v>
      </c>
      <c r="Q60" s="36" t="s">
        <v>2</v>
      </c>
      <c r="R60" s="36" t="s">
        <v>2</v>
      </c>
      <c r="S60" s="36" t="s">
        <v>2</v>
      </c>
      <c r="T60" s="36" t="s">
        <v>2</v>
      </c>
      <c r="U60" s="1"/>
    </row>
    <row r="61" spans="1:32" ht="12" customHeight="1" x14ac:dyDescent="0.25">
      <c r="O61" s="34" t="s">
        <v>4</v>
      </c>
      <c r="P61" s="35">
        <f>COUNTIF(P5:P58,"B2")</f>
        <v>9</v>
      </c>
      <c r="Q61" s="29">
        <f>COUNTIF(Q5:Q58,"A1")</f>
        <v>6</v>
      </c>
      <c r="R61" s="29">
        <f>COUNTIF(R5:R58,"A1")</f>
        <v>7</v>
      </c>
      <c r="S61" s="29">
        <f>COUNTIF(S5:S58,"A1")</f>
        <v>7</v>
      </c>
      <c r="T61" s="29">
        <f>COUNTIF(T5:T58,"A1")</f>
        <v>7</v>
      </c>
      <c r="U61" s="37">
        <f>SUM(Q61:T61)</f>
        <v>27</v>
      </c>
      <c r="AA61" s="22"/>
      <c r="AF61"/>
    </row>
    <row r="62" spans="1:32" ht="12" customHeight="1" x14ac:dyDescent="0.25">
      <c r="O62" s="34" t="s">
        <v>5</v>
      </c>
      <c r="P62" s="35">
        <f>COUNTIF(P5:P58,"B3")</f>
        <v>9</v>
      </c>
      <c r="Q62" s="36" t="s">
        <v>6</v>
      </c>
      <c r="R62" s="36" t="s">
        <v>6</v>
      </c>
      <c r="S62" s="36" t="s">
        <v>6</v>
      </c>
      <c r="T62" s="36" t="s">
        <v>6</v>
      </c>
      <c r="U62" s="1"/>
      <c r="AA62" s="22"/>
      <c r="AF62"/>
    </row>
    <row r="63" spans="1:32" ht="12" customHeight="1" x14ac:dyDescent="0.25">
      <c r="O63" s="34" t="s">
        <v>2</v>
      </c>
      <c r="P63" s="35">
        <f>COUNTIF(P5:P58,"A1")</f>
        <v>9</v>
      </c>
      <c r="Q63" s="29">
        <f>COUNTIF(Q5:Q58,"A2")</f>
        <v>5</v>
      </c>
      <c r="R63" s="29">
        <f>COUNTIF(R5:R58,"A2")</f>
        <v>8</v>
      </c>
      <c r="S63" s="29">
        <f>COUNTIF(S5:S58,"A2")</f>
        <v>8</v>
      </c>
      <c r="T63" s="29">
        <f>COUNTIF(T5:T58,"A2")</f>
        <v>6</v>
      </c>
      <c r="U63" s="37">
        <f>SUM(Q63:T63)</f>
        <v>27</v>
      </c>
      <c r="AA63" s="22"/>
      <c r="AE63"/>
      <c r="AF63"/>
    </row>
    <row r="64" spans="1:32" ht="12" customHeight="1" x14ac:dyDescent="0.25">
      <c r="O64" s="34" t="s">
        <v>6</v>
      </c>
      <c r="P64" s="35">
        <f>COUNTIF(P5:P58,"A2")</f>
        <v>9</v>
      </c>
      <c r="Q64" s="36" t="s">
        <v>7</v>
      </c>
      <c r="R64" s="36" t="s">
        <v>7</v>
      </c>
      <c r="S64" s="36" t="s">
        <v>7</v>
      </c>
      <c r="T64" s="36" t="s">
        <v>7</v>
      </c>
      <c r="U64" s="1"/>
      <c r="AA64" s="22"/>
      <c r="AE64"/>
      <c r="AF64"/>
    </row>
    <row r="65" spans="15:32" ht="12" customHeight="1" x14ac:dyDescent="0.25">
      <c r="O65" s="34" t="s">
        <v>7</v>
      </c>
      <c r="P65" s="35">
        <f>COUNTIF(P5:P58,"A3")</f>
        <v>9</v>
      </c>
      <c r="Q65" s="29">
        <f>COUNTIF(Q5:Q58,"A3")</f>
        <v>8</v>
      </c>
      <c r="R65" s="29">
        <f>COUNTIF(R5:R58,"A3")</f>
        <v>6</v>
      </c>
      <c r="S65" s="29">
        <f>COUNTIF(S5:S58,"A3")</f>
        <v>6</v>
      </c>
      <c r="T65" s="29">
        <f>COUNTIF(T5:T58,"A3")</f>
        <v>7</v>
      </c>
      <c r="U65" s="37">
        <f>SUM(Q65:T65)</f>
        <v>27</v>
      </c>
      <c r="AA65" s="22"/>
      <c r="AE65"/>
      <c r="AF65"/>
    </row>
    <row r="66" spans="15:32" ht="12" customHeight="1" x14ac:dyDescent="0.25">
      <c r="O66" s="33"/>
      <c r="P66" s="29"/>
      <c r="Q66" s="36" t="s">
        <v>3</v>
      </c>
      <c r="R66" s="36" t="s">
        <v>3</v>
      </c>
      <c r="S66" s="36" t="s">
        <v>3</v>
      </c>
      <c r="T66" s="36" t="s">
        <v>3</v>
      </c>
      <c r="U66" s="1"/>
      <c r="AA66" s="22"/>
      <c r="AE66"/>
      <c r="AF66"/>
    </row>
    <row r="67" spans="15:32" ht="12" customHeight="1" x14ac:dyDescent="0.25">
      <c r="O67" s="33"/>
      <c r="P67" s="29"/>
      <c r="Q67" s="29">
        <f>COUNTIF(Q5:Q58,"B1")</f>
        <v>6</v>
      </c>
      <c r="R67" s="29">
        <f>COUNTIF(R5:R58,"B1")</f>
        <v>6</v>
      </c>
      <c r="S67" s="29">
        <f>COUNTIF(S5:S58,"B1")</f>
        <v>6</v>
      </c>
      <c r="T67" s="29">
        <f>COUNTIF(T5:T58,"B1")</f>
        <v>9</v>
      </c>
      <c r="U67" s="37">
        <f>SUM(Q67:T67)</f>
        <v>27</v>
      </c>
      <c r="AA67" s="22"/>
      <c r="AE67"/>
      <c r="AF67"/>
    </row>
    <row r="68" spans="15:32" ht="12" customHeight="1" x14ac:dyDescent="0.25">
      <c r="O68" s="33"/>
      <c r="P68" s="29"/>
      <c r="Q68" s="36" t="s">
        <v>4</v>
      </c>
      <c r="R68" s="36" t="s">
        <v>4</v>
      </c>
      <c r="S68" s="36" t="s">
        <v>4</v>
      </c>
      <c r="T68" s="36" t="s">
        <v>4</v>
      </c>
      <c r="U68" s="1"/>
      <c r="AA68" s="22"/>
      <c r="AE68"/>
      <c r="AF68"/>
    </row>
    <row r="69" spans="15:32" ht="12" customHeight="1" x14ac:dyDescent="0.25">
      <c r="O69" s="33"/>
      <c r="P69" s="29"/>
      <c r="Q69" s="29">
        <f>COUNTIF(Q5:Q58,"B2")</f>
        <v>6</v>
      </c>
      <c r="R69" s="29">
        <f>COUNTIF(R5:R58,"B2")</f>
        <v>8</v>
      </c>
      <c r="S69" s="29">
        <f>COUNTIF(S5:S58,"B2")</f>
        <v>9</v>
      </c>
      <c r="T69" s="29">
        <f>COUNTIF(T5:T58,"B2")</f>
        <v>4</v>
      </c>
      <c r="U69" s="37">
        <f>SUM(Q69:T69)</f>
        <v>27</v>
      </c>
      <c r="AA69" s="22"/>
      <c r="AE69"/>
      <c r="AF69"/>
    </row>
    <row r="70" spans="15:32" ht="12" customHeight="1" x14ac:dyDescent="0.25">
      <c r="O70" s="33"/>
      <c r="P70" s="29"/>
      <c r="Q70" s="36" t="s">
        <v>5</v>
      </c>
      <c r="R70" s="36" t="s">
        <v>5</v>
      </c>
      <c r="S70" s="36" t="s">
        <v>5</v>
      </c>
      <c r="T70" s="36" t="s">
        <v>5</v>
      </c>
      <c r="U70" s="1"/>
      <c r="AA70" s="22"/>
      <c r="AE70"/>
      <c r="AF70"/>
    </row>
    <row r="71" spans="15:32" ht="12" customHeight="1" x14ac:dyDescent="0.25">
      <c r="O71" s="33"/>
      <c r="P71" s="29"/>
      <c r="Q71" s="29">
        <f>COUNTIF(Q5:Q58,"B3")</f>
        <v>8</v>
      </c>
      <c r="R71" s="29">
        <f>COUNTIF(R5:R58,"B3")</f>
        <v>6</v>
      </c>
      <c r="S71" s="29">
        <f>COUNTIF(S5:S58,"B3")</f>
        <v>6</v>
      </c>
      <c r="T71" s="29">
        <f>COUNTIF(T5:T58,"B3")</f>
        <v>7</v>
      </c>
      <c r="U71" s="37">
        <f>SUM(Q71:T71)</f>
        <v>27</v>
      </c>
      <c r="AA71" s="22"/>
      <c r="AE71"/>
      <c r="AF71"/>
    </row>
    <row r="72" spans="15:32" ht="12" customHeight="1" x14ac:dyDescent="0.25">
      <c r="AA72" s="22"/>
      <c r="AE72"/>
      <c r="AF72"/>
    </row>
    <row r="73" spans="15:32" ht="12" customHeight="1" x14ac:dyDescent="0.25">
      <c r="AF73"/>
    </row>
    <row r="74" spans="15:32" ht="12" customHeight="1" x14ac:dyDescent="0.25">
      <c r="AF74"/>
    </row>
    <row r="75" spans="15:32" ht="12" customHeight="1" x14ac:dyDescent="0.25"/>
    <row r="76" spans="15:32" ht="12" customHeight="1" x14ac:dyDescent="0.25"/>
    <row r="77" spans="15:32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Q77"/>
  <sheetViews>
    <sheetView zoomScale="110" zoomScaleNormal="110" workbookViewId="0">
      <selection activeCell="AL4" sqref="AL4:AQ16"/>
    </sheetView>
  </sheetViews>
  <sheetFormatPr defaultRowHeight="15" x14ac:dyDescent="0.25"/>
  <cols>
    <col min="1" max="1" width="3.42578125" style="8" customWidth="1"/>
    <col min="2" max="2" width="3.42578125" customWidth="1"/>
    <col min="3" max="6" width="3.42578125" style="8" customWidth="1"/>
    <col min="7" max="7" width="3.7109375" style="8" customWidth="1"/>
    <col min="8" max="8" width="3.140625" style="11" customWidth="1"/>
    <col min="9" max="14" width="3.42578125" style="22" customWidth="1"/>
    <col min="15" max="15" width="4.42578125" style="11" customWidth="1"/>
    <col min="16" max="19" width="3.42578125" style="11" customWidth="1"/>
    <col min="20" max="20" width="3.42578125" customWidth="1"/>
    <col min="21" max="21" width="3.7109375" customWidth="1"/>
    <col min="22" max="27" width="3.140625" customWidth="1"/>
    <col min="28" max="32" width="3.140625" style="8" customWidth="1"/>
    <col min="33" max="71" width="3.140625" customWidth="1"/>
  </cols>
  <sheetData>
    <row r="1" spans="1:43" x14ac:dyDescent="0.25">
      <c r="A1" s="7" t="s">
        <v>18</v>
      </c>
      <c r="C1" s="2"/>
      <c r="O1" s="7" t="s">
        <v>17</v>
      </c>
      <c r="P1"/>
      <c r="Q1" s="2"/>
      <c r="R1" s="8"/>
      <c r="S1" s="8"/>
      <c r="T1" s="8"/>
      <c r="U1" s="8"/>
      <c r="V1" s="11"/>
    </row>
    <row r="2" spans="1:43" ht="12" customHeight="1" x14ac:dyDescent="0.25">
      <c r="B2" s="59" t="s">
        <v>0</v>
      </c>
      <c r="C2" s="59"/>
      <c r="D2" s="59"/>
      <c r="E2" s="59"/>
      <c r="F2" s="59"/>
      <c r="O2" s="8"/>
      <c r="P2" s="59" t="s">
        <v>0</v>
      </c>
      <c r="Q2" s="59"/>
      <c r="R2" s="59"/>
      <c r="S2" s="59"/>
      <c r="T2" s="59"/>
      <c r="U2" s="8"/>
      <c r="V2" s="11"/>
    </row>
    <row r="3" spans="1:43" ht="12" customHeight="1" x14ac:dyDescent="0.25">
      <c r="B3" s="9" t="s">
        <v>19</v>
      </c>
      <c r="C3" s="60" t="s">
        <v>1</v>
      </c>
      <c r="D3" s="60"/>
      <c r="E3" s="60"/>
      <c r="F3" s="60"/>
      <c r="O3" s="22"/>
      <c r="P3" s="23" t="s">
        <v>19</v>
      </c>
      <c r="Q3" s="60" t="s">
        <v>1</v>
      </c>
      <c r="R3" s="60"/>
      <c r="S3" s="60"/>
      <c r="T3" s="60"/>
      <c r="U3" s="22"/>
      <c r="V3" s="22"/>
    </row>
    <row r="4" spans="1:43" ht="12" customHeight="1" x14ac:dyDescent="0.25">
      <c r="A4" s="8" t="s">
        <v>16</v>
      </c>
      <c r="B4" s="9"/>
      <c r="C4" s="15" t="s">
        <v>9</v>
      </c>
      <c r="D4" s="15" t="s">
        <v>9</v>
      </c>
      <c r="E4" s="15" t="s">
        <v>10</v>
      </c>
      <c r="F4" s="15" t="s">
        <v>11</v>
      </c>
      <c r="G4" s="8" t="s">
        <v>12</v>
      </c>
      <c r="H4" s="8" t="s">
        <v>15</v>
      </c>
      <c r="O4" s="22" t="s">
        <v>16</v>
      </c>
      <c r="P4" s="23"/>
      <c r="Q4" s="15" t="s">
        <v>9</v>
      </c>
      <c r="R4" s="15" t="s">
        <v>9</v>
      </c>
      <c r="S4" s="15" t="s">
        <v>10</v>
      </c>
      <c r="T4" s="15" t="s">
        <v>11</v>
      </c>
      <c r="U4" s="22" t="s">
        <v>12</v>
      </c>
      <c r="V4" s="22" t="s">
        <v>15</v>
      </c>
      <c r="AL4" s="5" t="s">
        <v>21</v>
      </c>
      <c r="AM4" s="17" t="s">
        <v>2</v>
      </c>
      <c r="AN4" s="17" t="s">
        <v>7</v>
      </c>
      <c r="AO4" s="16" t="s">
        <v>6</v>
      </c>
      <c r="AP4" s="17" t="s">
        <v>8</v>
      </c>
      <c r="AQ4" s="50">
        <v>3</v>
      </c>
    </row>
    <row r="5" spans="1:43" ht="12" customHeight="1" x14ac:dyDescent="0.25">
      <c r="A5" s="8">
        <v>1</v>
      </c>
      <c r="B5" s="5" t="s">
        <v>3</v>
      </c>
      <c r="C5" s="16" t="s">
        <v>2</v>
      </c>
      <c r="D5" s="17" t="s">
        <v>8</v>
      </c>
      <c r="E5" s="17" t="s">
        <v>8</v>
      </c>
      <c r="F5" s="17" t="s">
        <v>8</v>
      </c>
      <c r="G5" s="8">
        <v>1</v>
      </c>
      <c r="H5" s="8">
        <v>1</v>
      </c>
      <c r="O5" s="8">
        <v>1</v>
      </c>
      <c r="P5" s="5" t="s">
        <v>4</v>
      </c>
      <c r="Q5" s="16" t="s">
        <v>6</v>
      </c>
      <c r="R5" s="17" t="s">
        <v>2</v>
      </c>
      <c r="S5" s="17" t="s">
        <v>7</v>
      </c>
      <c r="T5" s="17" t="s">
        <v>8</v>
      </c>
      <c r="U5" s="11">
        <v>1</v>
      </c>
      <c r="V5" s="8">
        <v>1</v>
      </c>
      <c r="AL5" s="5" t="s">
        <v>22</v>
      </c>
      <c r="AM5" s="17" t="s">
        <v>6</v>
      </c>
      <c r="AN5" s="17" t="s">
        <v>2</v>
      </c>
      <c r="AO5" s="17" t="s">
        <v>8</v>
      </c>
      <c r="AP5" s="16" t="s">
        <v>7</v>
      </c>
      <c r="AQ5" s="50">
        <v>4</v>
      </c>
    </row>
    <row r="6" spans="1:43" ht="12" customHeight="1" x14ac:dyDescent="0.25">
      <c r="A6" s="8">
        <v>2</v>
      </c>
      <c r="B6" s="5" t="s">
        <v>4</v>
      </c>
      <c r="C6" s="17" t="s">
        <v>8</v>
      </c>
      <c r="D6" s="17" t="s">
        <v>8</v>
      </c>
      <c r="E6" s="17" t="s">
        <v>2</v>
      </c>
      <c r="F6" s="16" t="s">
        <v>6</v>
      </c>
      <c r="G6" s="8">
        <v>4</v>
      </c>
      <c r="H6" s="8">
        <v>1</v>
      </c>
      <c r="O6" s="8">
        <v>2</v>
      </c>
      <c r="P6" s="5" t="s">
        <v>3</v>
      </c>
      <c r="Q6" s="17" t="s">
        <v>7</v>
      </c>
      <c r="R6" s="17" t="s">
        <v>6</v>
      </c>
      <c r="S6" s="17" t="s">
        <v>8</v>
      </c>
      <c r="T6" s="16" t="s">
        <v>2</v>
      </c>
      <c r="U6" s="11">
        <v>4</v>
      </c>
      <c r="V6" s="8">
        <v>0</v>
      </c>
      <c r="AL6" s="5" t="s">
        <v>4</v>
      </c>
      <c r="AM6" s="16" t="s">
        <v>6</v>
      </c>
      <c r="AN6" s="17" t="s">
        <v>2</v>
      </c>
      <c r="AO6" s="17" t="s">
        <v>7</v>
      </c>
      <c r="AP6" s="17" t="s">
        <v>8</v>
      </c>
      <c r="AQ6" s="50">
        <v>1</v>
      </c>
    </row>
    <row r="7" spans="1:43" ht="12" customHeight="1" x14ac:dyDescent="0.25">
      <c r="A7" s="8">
        <v>3</v>
      </c>
      <c r="B7" s="5" t="s">
        <v>5</v>
      </c>
      <c r="C7" s="16" t="s">
        <v>7</v>
      </c>
      <c r="D7" s="17" t="s">
        <v>2</v>
      </c>
      <c r="E7" s="17" t="s">
        <v>6</v>
      </c>
      <c r="F7" s="17" t="s">
        <v>8</v>
      </c>
      <c r="G7" s="8">
        <v>1</v>
      </c>
      <c r="H7" s="8">
        <v>1</v>
      </c>
      <c r="O7" s="4">
        <v>3</v>
      </c>
      <c r="P7" s="5" t="s">
        <v>5</v>
      </c>
      <c r="Q7" s="16" t="s">
        <v>7</v>
      </c>
      <c r="R7" s="17" t="s">
        <v>8</v>
      </c>
      <c r="S7" s="17" t="s">
        <v>6</v>
      </c>
      <c r="T7" s="17" t="s">
        <v>2</v>
      </c>
      <c r="U7" s="11">
        <v>1</v>
      </c>
      <c r="V7" s="8">
        <v>1</v>
      </c>
      <c r="AL7" s="5" t="s">
        <v>3</v>
      </c>
      <c r="AM7" s="17" t="s">
        <v>7</v>
      </c>
      <c r="AN7" s="17" t="s">
        <v>6</v>
      </c>
      <c r="AO7" s="17" t="s">
        <v>8</v>
      </c>
      <c r="AP7" s="16" t="s">
        <v>2</v>
      </c>
      <c r="AQ7" s="50">
        <v>4</v>
      </c>
    </row>
    <row r="8" spans="1:43" ht="12" customHeight="1" x14ac:dyDescent="0.25">
      <c r="A8" s="12">
        <v>4</v>
      </c>
      <c r="B8" s="5" t="s">
        <v>3</v>
      </c>
      <c r="C8" s="17" t="s">
        <v>6</v>
      </c>
      <c r="D8" s="16" t="s">
        <v>2</v>
      </c>
      <c r="E8" s="17" t="s">
        <v>7</v>
      </c>
      <c r="F8" s="17" t="s">
        <v>8</v>
      </c>
      <c r="G8" s="8">
        <v>2</v>
      </c>
      <c r="H8" s="8">
        <v>1</v>
      </c>
      <c r="O8" s="4">
        <v>4</v>
      </c>
      <c r="P8" s="5" t="s">
        <v>5</v>
      </c>
      <c r="Q8" s="17" t="s">
        <v>6</v>
      </c>
      <c r="R8" s="17" t="s">
        <v>2</v>
      </c>
      <c r="S8" s="17" t="s">
        <v>8</v>
      </c>
      <c r="T8" s="16" t="s">
        <v>7</v>
      </c>
      <c r="U8" s="11">
        <v>4</v>
      </c>
      <c r="V8" s="8">
        <v>0</v>
      </c>
      <c r="AL8" s="5" t="s">
        <v>21</v>
      </c>
      <c r="AM8" s="16" t="s">
        <v>6</v>
      </c>
      <c r="AN8" s="17" t="s">
        <v>2</v>
      </c>
      <c r="AO8" s="17" t="s">
        <v>7</v>
      </c>
      <c r="AP8" s="17" t="s">
        <v>8</v>
      </c>
      <c r="AQ8" s="50">
        <v>1</v>
      </c>
    </row>
    <row r="9" spans="1:43" ht="12" customHeight="1" x14ac:dyDescent="0.25">
      <c r="A9" s="12">
        <v>5</v>
      </c>
      <c r="B9" s="5" t="s">
        <v>3</v>
      </c>
      <c r="C9" s="17" t="s">
        <v>7</v>
      </c>
      <c r="D9" s="17" t="s">
        <v>8</v>
      </c>
      <c r="E9" s="16" t="s">
        <v>2</v>
      </c>
      <c r="F9" s="17" t="s">
        <v>6</v>
      </c>
      <c r="G9" s="8">
        <v>3</v>
      </c>
      <c r="H9" s="8">
        <v>1</v>
      </c>
      <c r="O9" s="4">
        <v>5</v>
      </c>
      <c r="P9" s="5" t="s">
        <v>3</v>
      </c>
      <c r="Q9" s="17" t="s">
        <v>6</v>
      </c>
      <c r="R9" s="16" t="s">
        <v>2</v>
      </c>
      <c r="S9" s="17" t="s">
        <v>7</v>
      </c>
      <c r="T9" s="17" t="s">
        <v>8</v>
      </c>
      <c r="U9" s="11">
        <v>2</v>
      </c>
      <c r="V9" s="8">
        <v>0</v>
      </c>
      <c r="AL9" s="5" t="s">
        <v>5</v>
      </c>
      <c r="AM9" s="17" t="s">
        <v>6</v>
      </c>
      <c r="AN9" s="17" t="s">
        <v>2</v>
      </c>
      <c r="AO9" s="17" t="s">
        <v>8</v>
      </c>
      <c r="AP9" s="16" t="s">
        <v>7</v>
      </c>
      <c r="AQ9" s="50">
        <v>4</v>
      </c>
    </row>
    <row r="10" spans="1:43" ht="12" customHeight="1" x14ac:dyDescent="0.25">
      <c r="A10" s="12">
        <v>6</v>
      </c>
      <c r="B10" s="5" t="s">
        <v>3</v>
      </c>
      <c r="C10" s="16" t="s">
        <v>2</v>
      </c>
      <c r="D10" s="17" t="s">
        <v>6</v>
      </c>
      <c r="E10" s="17" t="s">
        <v>8</v>
      </c>
      <c r="F10" s="17" t="s">
        <v>7</v>
      </c>
      <c r="G10" s="8">
        <v>1</v>
      </c>
      <c r="H10" s="8">
        <v>1</v>
      </c>
      <c r="O10" s="4">
        <v>6</v>
      </c>
      <c r="P10" s="5" t="s">
        <v>5</v>
      </c>
      <c r="Q10" s="17" t="s">
        <v>8</v>
      </c>
      <c r="R10" s="17" t="s">
        <v>2</v>
      </c>
      <c r="S10" s="17" t="s">
        <v>6</v>
      </c>
      <c r="T10" s="16" t="s">
        <v>7</v>
      </c>
      <c r="U10" s="11">
        <v>4</v>
      </c>
      <c r="V10" s="8">
        <v>1</v>
      </c>
      <c r="AL10" s="5" t="s">
        <v>20</v>
      </c>
      <c r="AM10" s="17" t="s">
        <v>7</v>
      </c>
      <c r="AN10" s="17" t="s">
        <v>6</v>
      </c>
      <c r="AO10" s="17" t="s">
        <v>8</v>
      </c>
      <c r="AP10" s="16" t="s">
        <v>2</v>
      </c>
      <c r="AQ10" s="50">
        <v>4</v>
      </c>
    </row>
    <row r="11" spans="1:43" ht="12" customHeight="1" x14ac:dyDescent="0.25">
      <c r="A11" s="13">
        <v>7</v>
      </c>
      <c r="B11" s="5" t="s">
        <v>4</v>
      </c>
      <c r="C11" s="17" t="s">
        <v>8</v>
      </c>
      <c r="D11" s="17" t="s">
        <v>7</v>
      </c>
      <c r="E11" s="16" t="s">
        <v>6</v>
      </c>
      <c r="F11" s="17" t="s">
        <v>2</v>
      </c>
      <c r="G11" s="8">
        <v>3</v>
      </c>
      <c r="H11" s="8">
        <v>1</v>
      </c>
      <c r="O11" s="4">
        <v>7</v>
      </c>
      <c r="P11" s="5" t="s">
        <v>4</v>
      </c>
      <c r="Q11" s="17" t="s">
        <v>7</v>
      </c>
      <c r="R11" s="17" t="s">
        <v>2</v>
      </c>
      <c r="S11" s="16" t="s">
        <v>6</v>
      </c>
      <c r="T11" s="17" t="s">
        <v>8</v>
      </c>
      <c r="U11" s="11">
        <v>3</v>
      </c>
      <c r="V11" s="8">
        <v>0</v>
      </c>
      <c r="AL11" s="5" t="s">
        <v>5</v>
      </c>
      <c r="AM11" s="17" t="s">
        <v>8</v>
      </c>
      <c r="AN11" s="17" t="s">
        <v>2</v>
      </c>
      <c r="AO11" s="17" t="s">
        <v>6</v>
      </c>
      <c r="AP11" s="16" t="s">
        <v>7</v>
      </c>
      <c r="AQ11" s="50">
        <v>4</v>
      </c>
    </row>
    <row r="12" spans="1:43" ht="12" customHeight="1" x14ac:dyDescent="0.25">
      <c r="A12" s="13">
        <v>8</v>
      </c>
      <c r="B12" s="5" t="s">
        <v>4</v>
      </c>
      <c r="C12" s="17" t="s">
        <v>2</v>
      </c>
      <c r="D12" s="17" t="s">
        <v>7</v>
      </c>
      <c r="E12" s="17" t="s">
        <v>8</v>
      </c>
      <c r="F12" s="16" t="s">
        <v>6</v>
      </c>
      <c r="G12" s="8">
        <v>4</v>
      </c>
      <c r="H12" s="8">
        <v>1</v>
      </c>
      <c r="O12" s="4">
        <v>8</v>
      </c>
      <c r="P12" s="5" t="s">
        <v>4</v>
      </c>
      <c r="Q12" s="17" t="s">
        <v>2</v>
      </c>
      <c r="R12" s="16" t="s">
        <v>6</v>
      </c>
      <c r="S12" s="17" t="s">
        <v>7</v>
      </c>
      <c r="T12" s="17" t="s">
        <v>8</v>
      </c>
      <c r="U12" s="11">
        <v>2</v>
      </c>
      <c r="V12" s="8">
        <v>1</v>
      </c>
      <c r="AL12" s="5" t="s">
        <v>4</v>
      </c>
      <c r="AM12" s="17" t="s">
        <v>7</v>
      </c>
      <c r="AN12" s="17" t="s">
        <v>2</v>
      </c>
      <c r="AO12" s="16" t="s">
        <v>6</v>
      </c>
      <c r="AP12" s="17" t="s">
        <v>8</v>
      </c>
      <c r="AQ12" s="50">
        <v>3</v>
      </c>
    </row>
    <row r="13" spans="1:43" ht="12" customHeight="1" x14ac:dyDescent="0.25">
      <c r="A13" s="13">
        <v>9</v>
      </c>
      <c r="B13" s="5" t="s">
        <v>4</v>
      </c>
      <c r="C13" s="17" t="s">
        <v>7</v>
      </c>
      <c r="D13" s="17" t="s">
        <v>2</v>
      </c>
      <c r="E13" s="16" t="s">
        <v>6</v>
      </c>
      <c r="F13" s="17" t="s">
        <v>8</v>
      </c>
      <c r="G13" s="8">
        <v>3</v>
      </c>
      <c r="H13" s="8">
        <v>1</v>
      </c>
      <c r="O13" s="4">
        <v>9</v>
      </c>
      <c r="P13" s="5" t="s">
        <v>5</v>
      </c>
      <c r="Q13" s="16" t="s">
        <v>7</v>
      </c>
      <c r="R13" s="17" t="s">
        <v>8</v>
      </c>
      <c r="S13" s="17" t="s">
        <v>2</v>
      </c>
      <c r="T13" s="17" t="s">
        <v>6</v>
      </c>
      <c r="U13" s="11">
        <v>1</v>
      </c>
      <c r="V13" s="8">
        <v>1</v>
      </c>
      <c r="AL13" s="5" t="s">
        <v>20</v>
      </c>
      <c r="AM13" s="17" t="s">
        <v>8</v>
      </c>
      <c r="AN13" s="17" t="s">
        <v>6</v>
      </c>
      <c r="AO13" s="16" t="s">
        <v>2</v>
      </c>
      <c r="AP13" s="17" t="s">
        <v>7</v>
      </c>
      <c r="AQ13" s="50">
        <v>3</v>
      </c>
    </row>
    <row r="14" spans="1:43" ht="12" customHeight="1" x14ac:dyDescent="0.25">
      <c r="A14" s="14">
        <v>10</v>
      </c>
      <c r="B14" s="5" t="s">
        <v>5</v>
      </c>
      <c r="C14" s="17" t="s">
        <v>6</v>
      </c>
      <c r="D14" s="17" t="s">
        <v>8</v>
      </c>
      <c r="E14" s="17" t="s">
        <v>2</v>
      </c>
      <c r="F14" s="16" t="s">
        <v>7</v>
      </c>
      <c r="G14" s="8">
        <v>4</v>
      </c>
      <c r="H14" s="8">
        <v>1</v>
      </c>
      <c r="O14" s="4">
        <v>10</v>
      </c>
      <c r="P14" s="5" t="s">
        <v>3</v>
      </c>
      <c r="Q14" s="17" t="s">
        <v>7</v>
      </c>
      <c r="R14" s="17" t="s">
        <v>8</v>
      </c>
      <c r="S14" s="16" t="s">
        <v>2</v>
      </c>
      <c r="T14" s="17" t="s">
        <v>6</v>
      </c>
      <c r="U14" s="11">
        <v>3</v>
      </c>
      <c r="V14" s="8">
        <v>0</v>
      </c>
      <c r="AL14" s="5" t="s">
        <v>3</v>
      </c>
      <c r="AM14" s="17" t="s">
        <v>7</v>
      </c>
      <c r="AN14" s="17" t="s">
        <v>8</v>
      </c>
      <c r="AO14" s="16" t="s">
        <v>2</v>
      </c>
      <c r="AP14" s="17" t="s">
        <v>6</v>
      </c>
      <c r="AQ14" s="50">
        <v>3</v>
      </c>
    </row>
    <row r="15" spans="1:43" ht="12" customHeight="1" x14ac:dyDescent="0.25">
      <c r="A15" s="14">
        <v>11</v>
      </c>
      <c r="B15" s="5" t="s">
        <v>5</v>
      </c>
      <c r="C15" s="16" t="s">
        <v>7</v>
      </c>
      <c r="D15" s="17" t="s">
        <v>2</v>
      </c>
      <c r="E15" s="17" t="s">
        <v>8</v>
      </c>
      <c r="F15" s="17" t="s">
        <v>6</v>
      </c>
      <c r="G15" s="8">
        <v>1</v>
      </c>
      <c r="H15" s="8">
        <v>1</v>
      </c>
      <c r="O15" s="4">
        <v>11</v>
      </c>
      <c r="P15" s="5" t="s">
        <v>4</v>
      </c>
      <c r="Q15" s="17" t="s">
        <v>2</v>
      </c>
      <c r="R15" s="17" t="s">
        <v>7</v>
      </c>
      <c r="S15" s="16" t="s">
        <v>6</v>
      </c>
      <c r="T15" s="17" t="s">
        <v>8</v>
      </c>
      <c r="U15" s="11">
        <v>3</v>
      </c>
      <c r="V15" s="8">
        <v>0</v>
      </c>
      <c r="AL15" s="5" t="s">
        <v>4</v>
      </c>
      <c r="AM15" s="17" t="s">
        <v>2</v>
      </c>
      <c r="AN15" s="17" t="s">
        <v>7</v>
      </c>
      <c r="AO15" s="16" t="s">
        <v>6</v>
      </c>
      <c r="AP15" s="17" t="s">
        <v>8</v>
      </c>
      <c r="AQ15" s="50">
        <v>3</v>
      </c>
    </row>
    <row r="16" spans="1:43" ht="12" customHeight="1" x14ac:dyDescent="0.25">
      <c r="A16" s="14">
        <v>12</v>
      </c>
      <c r="B16" s="5" t="s">
        <v>5</v>
      </c>
      <c r="C16" s="17" t="s">
        <v>8</v>
      </c>
      <c r="D16" s="16" t="s">
        <v>7</v>
      </c>
      <c r="E16" s="17" t="s">
        <v>6</v>
      </c>
      <c r="F16" s="17" t="s">
        <v>2</v>
      </c>
      <c r="G16" s="8">
        <v>2</v>
      </c>
      <c r="H16" s="8">
        <v>1</v>
      </c>
      <c r="O16" s="4">
        <v>12</v>
      </c>
      <c r="P16" s="5" t="s">
        <v>4</v>
      </c>
      <c r="Q16" s="17" t="s">
        <v>8</v>
      </c>
      <c r="R16" s="17" t="s">
        <v>2</v>
      </c>
      <c r="S16" s="16" t="s">
        <v>6</v>
      </c>
      <c r="T16" s="17" t="s">
        <v>7</v>
      </c>
      <c r="U16" s="11">
        <v>3</v>
      </c>
      <c r="V16" s="8">
        <v>1</v>
      </c>
      <c r="AL16" s="5" t="s">
        <v>4</v>
      </c>
      <c r="AM16" s="17" t="s">
        <v>8</v>
      </c>
      <c r="AN16" s="17" t="s">
        <v>2</v>
      </c>
      <c r="AO16" s="16" t="s">
        <v>6</v>
      </c>
      <c r="AP16" s="17" t="s">
        <v>7</v>
      </c>
      <c r="AQ16" s="50">
        <v>3</v>
      </c>
    </row>
    <row r="17" spans="1:43" ht="12" customHeight="1" x14ac:dyDescent="0.25">
      <c r="A17" s="8">
        <v>13</v>
      </c>
      <c r="B17" s="5" t="s">
        <v>3</v>
      </c>
      <c r="C17" s="17" t="s">
        <v>6</v>
      </c>
      <c r="D17" s="17" t="s">
        <v>8</v>
      </c>
      <c r="E17" s="16" t="s">
        <v>2</v>
      </c>
      <c r="F17" s="17" t="s">
        <v>7</v>
      </c>
      <c r="G17" s="8">
        <v>3</v>
      </c>
      <c r="H17" s="8">
        <v>1</v>
      </c>
      <c r="O17" s="4">
        <v>13</v>
      </c>
      <c r="P17" s="5" t="s">
        <v>5</v>
      </c>
      <c r="Q17" s="17" t="s">
        <v>8</v>
      </c>
      <c r="R17" s="17" t="s">
        <v>2</v>
      </c>
      <c r="S17" s="17" t="s">
        <v>6</v>
      </c>
      <c r="T17" s="16" t="s">
        <v>7</v>
      </c>
      <c r="U17" s="11">
        <v>4</v>
      </c>
      <c r="V17" s="8">
        <v>0</v>
      </c>
      <c r="AL17" s="5" t="s">
        <v>20</v>
      </c>
      <c r="AM17" s="17" t="s">
        <v>6</v>
      </c>
      <c r="AN17" s="17" t="s">
        <v>8</v>
      </c>
      <c r="AO17" s="16" t="s">
        <v>2</v>
      </c>
      <c r="AP17" s="17" t="s">
        <v>7</v>
      </c>
      <c r="AQ17" s="50">
        <v>3</v>
      </c>
    </row>
    <row r="18" spans="1:43" ht="12" customHeight="1" x14ac:dyDescent="0.25">
      <c r="A18" s="8">
        <v>14</v>
      </c>
      <c r="B18" s="5" t="s">
        <v>5</v>
      </c>
      <c r="C18" s="16" t="s">
        <v>7</v>
      </c>
      <c r="D18" s="17" t="s">
        <v>2</v>
      </c>
      <c r="E18" s="17" t="s">
        <v>6</v>
      </c>
      <c r="F18" s="17" t="s">
        <v>8</v>
      </c>
      <c r="G18" s="8">
        <v>1</v>
      </c>
      <c r="H18" s="8">
        <v>1</v>
      </c>
      <c r="O18" s="8">
        <v>14</v>
      </c>
      <c r="P18" s="5" t="s">
        <v>3</v>
      </c>
      <c r="Q18" s="17" t="s">
        <v>6</v>
      </c>
      <c r="R18" s="17" t="s">
        <v>7</v>
      </c>
      <c r="S18" s="17" t="s">
        <v>8</v>
      </c>
      <c r="T18" s="16" t="s">
        <v>2</v>
      </c>
      <c r="U18" s="11">
        <v>4</v>
      </c>
      <c r="V18" s="8">
        <v>1</v>
      </c>
      <c r="AL18" s="5" t="s">
        <v>5</v>
      </c>
      <c r="AM18" s="17" t="s">
        <v>8</v>
      </c>
      <c r="AN18" s="17" t="s">
        <v>2</v>
      </c>
      <c r="AO18" s="17" t="s">
        <v>6</v>
      </c>
      <c r="AP18" s="16" t="s">
        <v>7</v>
      </c>
      <c r="AQ18" s="50">
        <v>4</v>
      </c>
    </row>
    <row r="19" spans="1:43" ht="12" customHeight="1" x14ac:dyDescent="0.25">
      <c r="A19" s="8">
        <v>15</v>
      </c>
      <c r="B19" s="5" t="s">
        <v>4</v>
      </c>
      <c r="C19" s="17" t="s">
        <v>8</v>
      </c>
      <c r="D19" s="16" t="s">
        <v>6</v>
      </c>
      <c r="E19" s="17" t="s">
        <v>7</v>
      </c>
      <c r="F19" s="17" t="s">
        <v>2</v>
      </c>
      <c r="G19" s="8">
        <v>2</v>
      </c>
      <c r="H19" s="8">
        <v>1</v>
      </c>
      <c r="O19" s="8">
        <v>15</v>
      </c>
      <c r="P19" s="5" t="s">
        <v>4</v>
      </c>
      <c r="Q19" s="16" t="s">
        <v>6</v>
      </c>
      <c r="R19" s="17" t="s">
        <v>7</v>
      </c>
      <c r="S19" s="17" t="s">
        <v>8</v>
      </c>
      <c r="T19" s="17" t="s">
        <v>2</v>
      </c>
      <c r="U19" s="11">
        <v>1</v>
      </c>
      <c r="V19" s="8">
        <v>1</v>
      </c>
      <c r="AL19" s="5" t="s">
        <v>20</v>
      </c>
      <c r="AM19" s="17" t="s">
        <v>6</v>
      </c>
      <c r="AN19" s="16" t="s">
        <v>2</v>
      </c>
      <c r="AO19" s="17" t="s">
        <v>7</v>
      </c>
      <c r="AP19" s="17" t="s">
        <v>8</v>
      </c>
      <c r="AQ19" s="50">
        <v>2</v>
      </c>
    </row>
    <row r="20" spans="1:43" ht="12" customHeight="1" x14ac:dyDescent="0.25">
      <c r="A20" s="8">
        <v>16</v>
      </c>
      <c r="B20" s="5" t="s">
        <v>3</v>
      </c>
      <c r="C20" s="17" t="s">
        <v>8</v>
      </c>
      <c r="D20" s="16" t="s">
        <v>2</v>
      </c>
      <c r="E20" s="17" t="s">
        <v>7</v>
      </c>
      <c r="F20" s="17" t="s">
        <v>6</v>
      </c>
      <c r="G20" s="8">
        <v>2</v>
      </c>
      <c r="H20" s="8">
        <v>1</v>
      </c>
      <c r="O20" s="8">
        <v>16</v>
      </c>
      <c r="P20" s="5" t="s">
        <v>3</v>
      </c>
      <c r="Q20" s="17" t="s">
        <v>8</v>
      </c>
      <c r="R20" s="17" t="s">
        <v>6</v>
      </c>
      <c r="S20" s="16" t="s">
        <v>2</v>
      </c>
      <c r="T20" s="17" t="s">
        <v>7</v>
      </c>
      <c r="U20" s="11">
        <v>3</v>
      </c>
      <c r="V20" s="8">
        <v>0</v>
      </c>
      <c r="AL20" s="5" t="s">
        <v>4</v>
      </c>
      <c r="AM20" s="16" t="s">
        <v>6</v>
      </c>
      <c r="AN20" s="17" t="s">
        <v>7</v>
      </c>
      <c r="AO20" s="17" t="s">
        <v>8</v>
      </c>
      <c r="AP20" s="17" t="s">
        <v>2</v>
      </c>
      <c r="AQ20" s="50">
        <v>1</v>
      </c>
    </row>
    <row r="21" spans="1:43" ht="12" customHeight="1" x14ac:dyDescent="0.25">
      <c r="A21" s="8">
        <v>17</v>
      </c>
      <c r="B21" s="5" t="s">
        <v>4</v>
      </c>
      <c r="C21" s="17" t="s">
        <v>7</v>
      </c>
      <c r="D21" s="17" t="s">
        <v>8</v>
      </c>
      <c r="E21" s="17" t="s">
        <v>2</v>
      </c>
      <c r="F21" s="16" t="s">
        <v>6</v>
      </c>
      <c r="G21" s="8">
        <v>4</v>
      </c>
      <c r="H21" s="8">
        <v>1</v>
      </c>
      <c r="O21" s="8">
        <v>17</v>
      </c>
      <c r="P21" s="5" t="s">
        <v>3</v>
      </c>
      <c r="Q21" s="17" t="s">
        <v>6</v>
      </c>
      <c r="R21" s="17" t="s">
        <v>8</v>
      </c>
      <c r="S21" s="16" t="s">
        <v>2</v>
      </c>
      <c r="T21" s="17" t="s">
        <v>7</v>
      </c>
      <c r="U21" s="11">
        <v>3</v>
      </c>
      <c r="V21" s="8">
        <v>1</v>
      </c>
      <c r="AL21" s="5" t="s">
        <v>3</v>
      </c>
      <c r="AM21" s="17" t="s">
        <v>8</v>
      </c>
      <c r="AN21" s="17" t="s">
        <v>6</v>
      </c>
      <c r="AO21" s="16" t="s">
        <v>2</v>
      </c>
      <c r="AP21" s="17" t="s">
        <v>7</v>
      </c>
      <c r="AQ21" s="50">
        <v>3</v>
      </c>
    </row>
    <row r="22" spans="1:43" ht="12" customHeight="1" x14ac:dyDescent="0.25">
      <c r="A22" s="8">
        <v>18</v>
      </c>
      <c r="B22" s="5" t="s">
        <v>4</v>
      </c>
      <c r="C22" s="17" t="s">
        <v>8</v>
      </c>
      <c r="D22" s="17" t="s">
        <v>2</v>
      </c>
      <c r="E22" s="16" t="s">
        <v>6</v>
      </c>
      <c r="F22" s="17" t="s">
        <v>7</v>
      </c>
      <c r="G22" s="8">
        <v>3</v>
      </c>
      <c r="H22" s="8">
        <v>1</v>
      </c>
      <c r="O22" s="8">
        <v>18</v>
      </c>
      <c r="P22" s="5" t="s">
        <v>5</v>
      </c>
      <c r="Q22" s="17" t="s">
        <v>8</v>
      </c>
      <c r="R22" s="16" t="s">
        <v>7</v>
      </c>
      <c r="S22" s="17" t="s">
        <v>2</v>
      </c>
      <c r="T22" s="17" t="s">
        <v>6</v>
      </c>
      <c r="U22" s="11">
        <v>2</v>
      </c>
      <c r="V22" s="8">
        <v>0</v>
      </c>
      <c r="AL22" s="5" t="s">
        <v>21</v>
      </c>
      <c r="AM22" s="17" t="s">
        <v>7</v>
      </c>
      <c r="AN22" s="17" t="s">
        <v>2</v>
      </c>
      <c r="AO22" s="16" t="s">
        <v>6</v>
      </c>
      <c r="AP22" s="17" t="s">
        <v>8</v>
      </c>
      <c r="AQ22" s="50">
        <v>3</v>
      </c>
    </row>
    <row r="23" spans="1:43" ht="12" customHeight="1" x14ac:dyDescent="0.25">
      <c r="A23" s="8">
        <v>19</v>
      </c>
      <c r="B23" s="5" t="s">
        <v>5</v>
      </c>
      <c r="C23" s="17" t="s">
        <v>6</v>
      </c>
      <c r="D23" s="16" t="s">
        <v>7</v>
      </c>
      <c r="E23" s="17" t="s">
        <v>2</v>
      </c>
      <c r="F23" s="17" t="s">
        <v>8</v>
      </c>
      <c r="G23" s="8">
        <v>2</v>
      </c>
      <c r="H23" s="8">
        <v>1</v>
      </c>
      <c r="O23" s="8"/>
      <c r="P23"/>
      <c r="Q23" s="8"/>
      <c r="R23" s="8"/>
      <c r="S23" s="8"/>
      <c r="T23" s="8"/>
      <c r="U23" s="8"/>
      <c r="V23" s="11"/>
      <c r="AL23" s="5" t="s">
        <v>5</v>
      </c>
      <c r="AM23" s="17" t="s">
        <v>8</v>
      </c>
      <c r="AN23" s="16" t="s">
        <v>7</v>
      </c>
      <c r="AO23" s="17" t="s">
        <v>2</v>
      </c>
      <c r="AP23" s="17" t="s">
        <v>6</v>
      </c>
      <c r="AQ23" s="50">
        <v>2</v>
      </c>
    </row>
    <row r="24" spans="1:43" ht="12" customHeight="1" x14ac:dyDescent="0.25">
      <c r="A24" s="8">
        <v>20</v>
      </c>
      <c r="B24" s="5" t="s">
        <v>3</v>
      </c>
      <c r="C24" s="17" t="s">
        <v>7</v>
      </c>
      <c r="D24" s="17" t="s">
        <v>6</v>
      </c>
      <c r="E24" s="16" t="s">
        <v>2</v>
      </c>
      <c r="F24" s="17" t="s">
        <v>8</v>
      </c>
      <c r="G24" s="8">
        <v>3</v>
      </c>
      <c r="H24" s="8">
        <v>1</v>
      </c>
      <c r="O24" s="24" t="s">
        <v>3</v>
      </c>
      <c r="P24" s="25">
        <f>COUNTIF(B14:B61,"B1")</f>
        <v>3</v>
      </c>
      <c r="Q24" s="18" t="s">
        <v>2</v>
      </c>
      <c r="R24" s="18" t="s">
        <v>2</v>
      </c>
      <c r="S24" s="18" t="s">
        <v>2</v>
      </c>
      <c r="T24" s="18" t="s">
        <v>2</v>
      </c>
      <c r="U24" s="21"/>
      <c r="V24" s="11"/>
      <c r="AL24" s="5" t="s">
        <v>20</v>
      </c>
      <c r="AM24" s="17" t="s">
        <v>7</v>
      </c>
      <c r="AN24" s="17" t="s">
        <v>8</v>
      </c>
      <c r="AO24" s="16" t="s">
        <v>2</v>
      </c>
      <c r="AP24" s="17" t="s">
        <v>6</v>
      </c>
      <c r="AQ24" s="50">
        <v>3</v>
      </c>
    </row>
    <row r="25" spans="1:43" ht="12" customHeight="1" x14ac:dyDescent="0.25">
      <c r="A25" s="8">
        <v>21</v>
      </c>
      <c r="B25" s="5" t="s">
        <v>5</v>
      </c>
      <c r="C25" s="17" t="s">
        <v>2</v>
      </c>
      <c r="D25" s="17" t="s">
        <v>8</v>
      </c>
      <c r="E25" s="17" t="s">
        <v>6</v>
      </c>
      <c r="F25" s="16" t="s">
        <v>7</v>
      </c>
      <c r="G25" s="8">
        <v>4</v>
      </c>
      <c r="H25" s="8">
        <v>1</v>
      </c>
      <c r="O25" s="24" t="s">
        <v>4</v>
      </c>
      <c r="P25" s="25">
        <f>COUNTIF(B14:B61,"B2")</f>
        <v>3</v>
      </c>
      <c r="Q25" s="3">
        <f>COUNTIF(Q5:Q22,"A1")</f>
        <v>2</v>
      </c>
      <c r="R25" s="3">
        <f t="shared" ref="R25:T25" si="0">COUNTIF(R5:R22,"A1")</f>
        <v>7</v>
      </c>
      <c r="S25" s="3">
        <f t="shared" si="0"/>
        <v>5</v>
      </c>
      <c r="T25" s="3">
        <f t="shared" si="0"/>
        <v>4</v>
      </c>
      <c r="U25" s="20">
        <f>SUM(Q25:T25)</f>
        <v>18</v>
      </c>
      <c r="V25" s="11"/>
      <c r="AL25" s="5" t="s">
        <v>22</v>
      </c>
      <c r="AM25" s="16" t="s">
        <v>7</v>
      </c>
      <c r="AN25" s="17" t="s">
        <v>8</v>
      </c>
      <c r="AO25" s="17" t="s">
        <v>2</v>
      </c>
      <c r="AP25" s="17" t="s">
        <v>6</v>
      </c>
      <c r="AQ25" s="50">
        <v>1</v>
      </c>
    </row>
    <row r="26" spans="1:43" ht="12" customHeight="1" x14ac:dyDescent="0.25">
      <c r="A26" s="4"/>
      <c r="B26" s="3"/>
      <c r="C26" s="3"/>
      <c r="D26" s="3"/>
      <c r="E26" s="3"/>
      <c r="F26" s="3"/>
      <c r="G26" s="11"/>
      <c r="O26" s="24" t="s">
        <v>5</v>
      </c>
      <c r="P26" s="25">
        <f>COUNTIF(B14:B61,"B3")</f>
        <v>6</v>
      </c>
      <c r="Q26" s="18" t="s">
        <v>6</v>
      </c>
      <c r="R26" s="18" t="s">
        <v>6</v>
      </c>
      <c r="S26" s="18" t="s">
        <v>6</v>
      </c>
      <c r="T26" s="18" t="s">
        <v>6</v>
      </c>
      <c r="U26" s="21"/>
      <c r="V26" s="11"/>
      <c r="AB26" s="11"/>
      <c r="AC26" s="11"/>
      <c r="AL26" s="5" t="s">
        <v>5</v>
      </c>
      <c r="AM26" s="16" t="s">
        <v>7</v>
      </c>
      <c r="AN26" s="17" t="s">
        <v>8</v>
      </c>
      <c r="AO26" s="17" t="s">
        <v>6</v>
      </c>
      <c r="AP26" s="17" t="s">
        <v>2</v>
      </c>
      <c r="AQ26" s="50">
        <v>1</v>
      </c>
    </row>
    <row r="27" spans="1:43" ht="12" customHeight="1" x14ac:dyDescent="0.25">
      <c r="A27" s="24" t="s">
        <v>3</v>
      </c>
      <c r="B27" s="25">
        <f>COUNTIF(B5:B25,"B1")</f>
        <v>7</v>
      </c>
      <c r="C27" s="18" t="s">
        <v>2</v>
      </c>
      <c r="D27" s="18" t="s">
        <v>2</v>
      </c>
      <c r="E27" s="18" t="s">
        <v>2</v>
      </c>
      <c r="F27" s="18" t="s">
        <v>2</v>
      </c>
      <c r="G27" s="21"/>
      <c r="H27" s="21"/>
      <c r="O27" s="24" t="s">
        <v>2</v>
      </c>
      <c r="P27" s="25">
        <f>COUNTIF(B14:B61,"A1")</f>
        <v>0</v>
      </c>
      <c r="Q27" s="3">
        <f>COUNTIF(Q5:Q22,"A2")</f>
        <v>6</v>
      </c>
      <c r="R27" s="3">
        <f t="shared" ref="R27:T27" si="1">COUNTIF(R5:R22,"A2")</f>
        <v>3</v>
      </c>
      <c r="S27" s="3">
        <f t="shared" si="1"/>
        <v>6</v>
      </c>
      <c r="T27" s="3">
        <f t="shared" si="1"/>
        <v>3</v>
      </c>
      <c r="U27" s="20">
        <f>SUM(Q27:T27)</f>
        <v>18</v>
      </c>
      <c r="V27" s="11"/>
      <c r="AA27" s="21"/>
      <c r="AB27" s="21"/>
      <c r="AC27" s="21"/>
      <c r="AL27" s="5" t="s">
        <v>21</v>
      </c>
      <c r="AM27" s="16" t="s">
        <v>6</v>
      </c>
      <c r="AN27" s="17" t="s">
        <v>7</v>
      </c>
      <c r="AO27" s="17" t="s">
        <v>8</v>
      </c>
      <c r="AP27" s="17" t="s">
        <v>2</v>
      </c>
      <c r="AQ27" s="50">
        <v>1</v>
      </c>
    </row>
    <row r="28" spans="1:43" ht="12" customHeight="1" x14ac:dyDescent="0.25">
      <c r="A28" s="24" t="s">
        <v>4</v>
      </c>
      <c r="B28" s="25">
        <f>COUNTIF(B5:B25,"B2")</f>
        <v>7</v>
      </c>
      <c r="C28" s="3">
        <f>COUNTIF(C5:C25,"A1")</f>
        <v>4</v>
      </c>
      <c r="D28" s="3">
        <f t="shared" ref="D28:F28" si="2">COUNTIF(D5:D25,"A1")</f>
        <v>7</v>
      </c>
      <c r="E28" s="3">
        <f t="shared" si="2"/>
        <v>7</v>
      </c>
      <c r="F28" s="3">
        <f t="shared" si="2"/>
        <v>3</v>
      </c>
      <c r="G28" s="20">
        <f>SUM(C28:F28)</f>
        <v>21</v>
      </c>
      <c r="H28" s="21"/>
      <c r="O28" s="24" t="s">
        <v>6</v>
      </c>
      <c r="P28" s="25">
        <f>COUNTIF(B14:B61,"B2")</f>
        <v>3</v>
      </c>
      <c r="Q28" s="18" t="s">
        <v>7</v>
      </c>
      <c r="R28" s="18" t="s">
        <v>7</v>
      </c>
      <c r="S28" s="18" t="s">
        <v>7</v>
      </c>
      <c r="T28" s="18" t="s">
        <v>7</v>
      </c>
      <c r="U28" s="21"/>
      <c r="V28" s="11"/>
      <c r="AA28" s="21"/>
      <c r="AB28" s="21"/>
      <c r="AC28" s="21"/>
      <c r="AL28" s="5" t="s">
        <v>4</v>
      </c>
      <c r="AM28" s="17" t="s">
        <v>2</v>
      </c>
      <c r="AN28" s="16" t="s">
        <v>6</v>
      </c>
      <c r="AO28" s="17" t="s">
        <v>7</v>
      </c>
      <c r="AP28" s="17" t="s">
        <v>8</v>
      </c>
      <c r="AQ28" s="50">
        <v>2</v>
      </c>
    </row>
    <row r="29" spans="1:43" ht="12" customHeight="1" x14ac:dyDescent="0.25">
      <c r="A29" s="24" t="s">
        <v>5</v>
      </c>
      <c r="B29" s="25">
        <f>COUNTIF(B5:B25,"B3")</f>
        <v>7</v>
      </c>
      <c r="C29" s="18" t="s">
        <v>6</v>
      </c>
      <c r="D29" s="18" t="s">
        <v>6</v>
      </c>
      <c r="E29" s="18" t="s">
        <v>6</v>
      </c>
      <c r="F29" s="18" t="s">
        <v>6</v>
      </c>
      <c r="G29" s="21"/>
      <c r="H29" s="21"/>
      <c r="O29" s="24" t="s">
        <v>7</v>
      </c>
      <c r="P29" s="25">
        <f>COUNTIF(B14:B61,"A3")</f>
        <v>0</v>
      </c>
      <c r="Q29" s="3">
        <f>COUNTIF(Q5:Q22,"A3")</f>
        <v>5</v>
      </c>
      <c r="R29" s="3">
        <f t="shared" ref="R29:T29" si="3">COUNTIF(R5:R22,"A3")</f>
        <v>4</v>
      </c>
      <c r="S29" s="3">
        <f t="shared" si="3"/>
        <v>3</v>
      </c>
      <c r="T29" s="3">
        <f t="shared" si="3"/>
        <v>6</v>
      </c>
      <c r="U29" s="20">
        <f>SUM(Q29:T29)</f>
        <v>18</v>
      </c>
      <c r="V29" s="11"/>
      <c r="AA29" s="21"/>
      <c r="AB29" s="21"/>
      <c r="AC29" s="21"/>
      <c r="AL29" s="5" t="s">
        <v>22</v>
      </c>
      <c r="AM29" s="17" t="s">
        <v>8</v>
      </c>
      <c r="AN29" s="16" t="s">
        <v>7</v>
      </c>
      <c r="AO29" s="17" t="s">
        <v>2</v>
      </c>
      <c r="AP29" s="17" t="s">
        <v>6</v>
      </c>
      <c r="AQ29" s="50">
        <v>2</v>
      </c>
    </row>
    <row r="30" spans="1:43" ht="12" customHeight="1" x14ac:dyDescent="0.25">
      <c r="A30" s="24" t="s">
        <v>2</v>
      </c>
      <c r="B30" s="25">
        <f>COUNTIF(B5:B25,"A1")</f>
        <v>0</v>
      </c>
      <c r="C30" s="3">
        <f>COUNTIF(C5:C25,"A2")</f>
        <v>4</v>
      </c>
      <c r="D30" s="3">
        <f t="shared" ref="D30:F30" si="4">COUNTIF(D5:D25,"A2")</f>
        <v>3</v>
      </c>
      <c r="E30" s="3">
        <f t="shared" si="4"/>
        <v>7</v>
      </c>
      <c r="F30" s="3">
        <f t="shared" si="4"/>
        <v>6</v>
      </c>
      <c r="G30" s="20">
        <f>SUM(C30:F30)</f>
        <v>20</v>
      </c>
      <c r="H30" s="21"/>
      <c r="O30" s="4"/>
      <c r="P30" s="3"/>
      <c r="Q30" s="18" t="s">
        <v>3</v>
      </c>
      <c r="R30" s="18" t="s">
        <v>3</v>
      </c>
      <c r="S30" s="18" t="s">
        <v>3</v>
      </c>
      <c r="T30" s="18" t="s">
        <v>3</v>
      </c>
      <c r="U30" s="21"/>
      <c r="V30" s="11"/>
      <c r="AA30" s="21"/>
      <c r="AB30" s="21"/>
      <c r="AC30" s="21"/>
      <c r="AL30" s="5" t="s">
        <v>20</v>
      </c>
      <c r="AM30" s="17" t="s">
        <v>6</v>
      </c>
      <c r="AN30" s="17" t="s">
        <v>7</v>
      </c>
      <c r="AO30" s="17" t="s">
        <v>8</v>
      </c>
      <c r="AP30" s="16" t="s">
        <v>2</v>
      </c>
      <c r="AQ30" s="50">
        <v>4</v>
      </c>
    </row>
    <row r="31" spans="1:43" ht="12" customHeight="1" x14ac:dyDescent="0.25">
      <c r="A31" s="24" t="s">
        <v>6</v>
      </c>
      <c r="B31" s="25">
        <f>COUNTIF(B5:B25,"A2")</f>
        <v>0</v>
      </c>
      <c r="C31" s="18" t="s">
        <v>7</v>
      </c>
      <c r="D31" s="18" t="s">
        <v>7</v>
      </c>
      <c r="E31" s="18" t="s">
        <v>7</v>
      </c>
      <c r="F31" s="18" t="s">
        <v>7</v>
      </c>
      <c r="G31" s="21"/>
      <c r="H31" s="21"/>
      <c r="O31" s="4"/>
      <c r="P31" s="3"/>
      <c r="Q31" s="3">
        <f>COUNTIF(Q5:Q22,"B1")</f>
        <v>0</v>
      </c>
      <c r="R31" s="3">
        <f t="shared" ref="R31:T31" si="5">COUNTIF(R5:R22,"B1")</f>
        <v>0</v>
      </c>
      <c r="S31" s="3">
        <f t="shared" si="5"/>
        <v>0</v>
      </c>
      <c r="T31" s="3">
        <f t="shared" si="5"/>
        <v>0</v>
      </c>
      <c r="U31" s="20">
        <f>SUM(Q31:T31)</f>
        <v>0</v>
      </c>
      <c r="V31" s="11"/>
      <c r="AA31" s="21"/>
      <c r="AB31" s="21"/>
      <c r="AC31" s="21"/>
      <c r="AL31" s="5" t="s">
        <v>3</v>
      </c>
      <c r="AM31" s="17" t="s">
        <v>6</v>
      </c>
      <c r="AN31" s="17" t="s">
        <v>8</v>
      </c>
      <c r="AO31" s="16" t="s">
        <v>2</v>
      </c>
      <c r="AP31" s="17" t="s">
        <v>7</v>
      </c>
      <c r="AQ31" s="50">
        <v>3</v>
      </c>
    </row>
    <row r="32" spans="1:43" ht="12" customHeight="1" x14ac:dyDescent="0.25">
      <c r="A32" s="24" t="s">
        <v>7</v>
      </c>
      <c r="B32" s="25">
        <f>COUNTIF(B5:B25,"A3")</f>
        <v>0</v>
      </c>
      <c r="C32" s="3">
        <f>COUNTIF(C5:C25,"A3")</f>
        <v>7</v>
      </c>
      <c r="D32" s="3">
        <f t="shared" ref="D32:F32" si="6">COUNTIF(D5:D25,"A3")</f>
        <v>4</v>
      </c>
      <c r="E32" s="3">
        <f t="shared" si="6"/>
        <v>3</v>
      </c>
      <c r="F32" s="3">
        <f t="shared" si="6"/>
        <v>5</v>
      </c>
      <c r="G32" s="20">
        <f>SUM(C32:F32)</f>
        <v>19</v>
      </c>
      <c r="H32" s="21"/>
      <c r="O32" s="4"/>
      <c r="P32" s="3"/>
      <c r="Q32" s="18" t="s">
        <v>4</v>
      </c>
      <c r="R32" s="18" t="s">
        <v>4</v>
      </c>
      <c r="S32" s="18" t="s">
        <v>4</v>
      </c>
      <c r="T32" s="18" t="s">
        <v>4</v>
      </c>
      <c r="U32" s="21"/>
      <c r="V32" s="11"/>
      <c r="AA32" s="21"/>
      <c r="AB32" s="21"/>
      <c r="AC32" s="21"/>
      <c r="AL32" s="5" t="s">
        <v>21</v>
      </c>
      <c r="AM32" s="17" t="s">
        <v>8</v>
      </c>
      <c r="AN32" s="17" t="s">
        <v>2</v>
      </c>
      <c r="AO32" s="16" t="s">
        <v>6</v>
      </c>
      <c r="AP32" s="17" t="s">
        <v>7</v>
      </c>
      <c r="AQ32" s="50">
        <v>3</v>
      </c>
    </row>
    <row r="33" spans="1:43" ht="12" customHeight="1" x14ac:dyDescent="0.25">
      <c r="A33" s="4"/>
      <c r="B33" s="3"/>
      <c r="C33" s="18" t="s">
        <v>3</v>
      </c>
      <c r="D33" s="18" t="s">
        <v>3</v>
      </c>
      <c r="E33" s="18" t="s">
        <v>3</v>
      </c>
      <c r="F33" s="18" t="s">
        <v>3</v>
      </c>
      <c r="G33" s="21"/>
      <c r="H33" s="21"/>
      <c r="O33" s="4"/>
      <c r="P33" s="3"/>
      <c r="Q33" s="3">
        <f>COUNTIF(Q5:Q22,"B2")</f>
        <v>0</v>
      </c>
      <c r="R33" s="3">
        <f t="shared" ref="R33:T33" si="7">COUNTIF(R5:R22,"B2")</f>
        <v>0</v>
      </c>
      <c r="S33" s="3">
        <f t="shared" si="7"/>
        <v>0</v>
      </c>
      <c r="T33" s="3">
        <f t="shared" si="7"/>
        <v>0</v>
      </c>
      <c r="U33" s="20">
        <f>SUM(Q33:T33)</f>
        <v>0</v>
      </c>
      <c r="V33" s="11"/>
      <c r="AA33" s="21"/>
      <c r="AB33" s="21"/>
      <c r="AC33" s="21"/>
      <c r="AL33" s="5" t="s">
        <v>5</v>
      </c>
      <c r="AM33" s="16" t="s">
        <v>7</v>
      </c>
      <c r="AN33" s="17" t="s">
        <v>8</v>
      </c>
      <c r="AO33" s="17" t="s">
        <v>2</v>
      </c>
      <c r="AP33" s="17" t="s">
        <v>6</v>
      </c>
      <c r="AQ33" s="50">
        <v>1</v>
      </c>
    </row>
    <row r="34" spans="1:43" ht="12" customHeight="1" x14ac:dyDescent="0.25">
      <c r="A34" s="4"/>
      <c r="B34" s="3"/>
      <c r="C34" s="3">
        <f>COUNTIF(C5:C25,"B1")</f>
        <v>0</v>
      </c>
      <c r="D34" s="3">
        <f t="shared" ref="D34:F34" si="8">COUNTIF(D5:D25,"B1")</f>
        <v>0</v>
      </c>
      <c r="E34" s="3">
        <f t="shared" si="8"/>
        <v>0</v>
      </c>
      <c r="F34" s="3">
        <f t="shared" si="8"/>
        <v>0</v>
      </c>
      <c r="G34" s="20">
        <f>SUM(C34:F34)</f>
        <v>0</v>
      </c>
      <c r="H34" s="21"/>
      <c r="O34" s="4"/>
      <c r="P34" s="3"/>
      <c r="Q34" s="18" t="s">
        <v>5</v>
      </c>
      <c r="R34" s="18" t="s">
        <v>5</v>
      </c>
      <c r="S34" s="18" t="s">
        <v>5</v>
      </c>
      <c r="T34" s="18" t="s">
        <v>5</v>
      </c>
      <c r="U34" s="21"/>
      <c r="V34" s="11"/>
      <c r="AA34" s="21"/>
      <c r="AB34" s="21"/>
      <c r="AC34" s="21"/>
      <c r="AL34" s="5" t="s">
        <v>3</v>
      </c>
      <c r="AM34" s="17" t="s">
        <v>6</v>
      </c>
      <c r="AN34" s="17" t="s">
        <v>7</v>
      </c>
      <c r="AO34" s="17" t="s">
        <v>8</v>
      </c>
      <c r="AP34" s="16" t="s">
        <v>2</v>
      </c>
      <c r="AQ34" s="50">
        <v>4</v>
      </c>
    </row>
    <row r="35" spans="1:43" ht="12" customHeight="1" x14ac:dyDescent="0.25">
      <c r="A35" s="4"/>
      <c r="B35" s="3"/>
      <c r="C35" s="18" t="s">
        <v>4</v>
      </c>
      <c r="D35" s="18" t="s">
        <v>4</v>
      </c>
      <c r="E35" s="18" t="s">
        <v>4</v>
      </c>
      <c r="F35" s="18" t="s">
        <v>4</v>
      </c>
      <c r="G35" s="21"/>
      <c r="H35" s="21"/>
      <c r="O35" s="4"/>
      <c r="P35" s="3"/>
      <c r="Q35" s="3">
        <f>COUNTIF(Q5:Q22,"B3")</f>
        <v>0</v>
      </c>
      <c r="R35" s="3">
        <f t="shared" ref="R35:T35" si="9">COUNTIF(R5:R22,"B3")</f>
        <v>0</v>
      </c>
      <c r="S35" s="3">
        <f t="shared" si="9"/>
        <v>0</v>
      </c>
      <c r="T35" s="3">
        <f t="shared" si="9"/>
        <v>0</v>
      </c>
      <c r="U35" s="20">
        <f>SUM(Q35:T35)</f>
        <v>0</v>
      </c>
      <c r="V35" s="11"/>
      <c r="AA35" s="21"/>
      <c r="AB35" s="21"/>
      <c r="AC35" s="21"/>
      <c r="AL35" s="5" t="s">
        <v>22</v>
      </c>
      <c r="AM35" s="16" t="s">
        <v>7</v>
      </c>
      <c r="AN35" s="17" t="s">
        <v>8</v>
      </c>
      <c r="AO35" s="17" t="s">
        <v>6</v>
      </c>
      <c r="AP35" s="17" t="s">
        <v>2</v>
      </c>
      <c r="AQ35" s="50">
        <v>1</v>
      </c>
    </row>
    <row r="36" spans="1:43" ht="12" customHeight="1" x14ac:dyDescent="0.25">
      <c r="A36" s="4"/>
      <c r="B36" s="3"/>
      <c r="C36" s="3">
        <f>COUNTIF(C5:C25,"B2")</f>
        <v>0</v>
      </c>
      <c r="D36" s="3">
        <f t="shared" ref="D36:F36" si="10">COUNTIF(D5:D25,"B2")</f>
        <v>0</v>
      </c>
      <c r="E36" s="3">
        <f t="shared" si="10"/>
        <v>0</v>
      </c>
      <c r="F36" s="3">
        <f t="shared" si="10"/>
        <v>0</v>
      </c>
      <c r="G36" s="20">
        <f>SUM(C36:F36)</f>
        <v>0</v>
      </c>
      <c r="H36" s="21"/>
      <c r="O36" s="8"/>
      <c r="P36"/>
      <c r="Q36" s="8"/>
      <c r="R36" s="8"/>
      <c r="S36" s="8"/>
      <c r="T36" s="8"/>
      <c r="U36" s="8"/>
      <c r="V36" s="11"/>
      <c r="AA36" s="21"/>
      <c r="AB36" s="21"/>
      <c r="AC36" s="21"/>
      <c r="AL36" s="5" t="s">
        <v>22</v>
      </c>
      <c r="AM36" s="17" t="s">
        <v>8</v>
      </c>
      <c r="AN36" s="17" t="s">
        <v>2</v>
      </c>
      <c r="AO36" s="17" t="s">
        <v>6</v>
      </c>
      <c r="AP36" s="16" t="s">
        <v>7</v>
      </c>
      <c r="AQ36" s="50">
        <v>4</v>
      </c>
    </row>
    <row r="37" spans="1:43" ht="12" customHeight="1" x14ac:dyDescent="0.25">
      <c r="A37" s="4"/>
      <c r="B37" s="3"/>
      <c r="C37" s="18" t="s">
        <v>5</v>
      </c>
      <c r="D37" s="18" t="s">
        <v>5</v>
      </c>
      <c r="E37" s="18" t="s">
        <v>5</v>
      </c>
      <c r="F37" s="18" t="s">
        <v>5</v>
      </c>
      <c r="G37" s="21"/>
      <c r="H37" s="21"/>
      <c r="O37" s="8"/>
      <c r="P37"/>
      <c r="Q37" s="8"/>
      <c r="R37" s="8"/>
      <c r="S37" s="8"/>
      <c r="T37" s="8"/>
      <c r="U37" s="8"/>
      <c r="V37" s="11"/>
      <c r="AA37" s="21"/>
      <c r="AB37" s="21"/>
      <c r="AC37" s="21"/>
      <c r="AL37" s="5" t="s">
        <v>22</v>
      </c>
      <c r="AM37" s="17" t="s">
        <v>8</v>
      </c>
      <c r="AN37" s="17" t="s">
        <v>2</v>
      </c>
      <c r="AO37" s="17" t="s">
        <v>6</v>
      </c>
      <c r="AP37" s="16" t="s">
        <v>7</v>
      </c>
      <c r="AQ37" s="50">
        <v>4</v>
      </c>
    </row>
    <row r="38" spans="1:43" ht="12" customHeight="1" x14ac:dyDescent="0.25">
      <c r="A38" s="4"/>
      <c r="B38" s="3"/>
      <c r="C38" s="3">
        <f>COUNTIF(C5:C25,"B2")</f>
        <v>0</v>
      </c>
      <c r="D38" s="3">
        <f t="shared" ref="D38:F38" si="11">COUNTIF(D5:D25,"B2")</f>
        <v>0</v>
      </c>
      <c r="E38" s="3">
        <f t="shared" si="11"/>
        <v>0</v>
      </c>
      <c r="F38" s="3">
        <f t="shared" si="11"/>
        <v>0</v>
      </c>
      <c r="G38" s="20">
        <f>SUM(C38:F38)</f>
        <v>0</v>
      </c>
      <c r="H38" s="21"/>
      <c r="O38" s="8"/>
      <c r="P38"/>
      <c r="Q38" s="8"/>
      <c r="R38" s="8"/>
      <c r="S38" s="8"/>
      <c r="T38" s="8"/>
      <c r="U38" s="8"/>
      <c r="V38" s="11"/>
      <c r="AA38" s="21"/>
      <c r="AB38" s="21"/>
      <c r="AC38" s="21"/>
      <c r="AL38" s="5" t="s">
        <v>21</v>
      </c>
      <c r="AM38" s="17" t="s">
        <v>2</v>
      </c>
      <c r="AN38" s="16" t="s">
        <v>6</v>
      </c>
      <c r="AO38" s="17" t="s">
        <v>7</v>
      </c>
      <c r="AP38" s="17" t="s">
        <v>8</v>
      </c>
      <c r="AQ38" s="50">
        <v>2</v>
      </c>
    </row>
    <row r="39" spans="1:43" ht="12" customHeight="1" x14ac:dyDescent="0.25">
      <c r="A39" s="4"/>
      <c r="B39" s="3"/>
      <c r="C39" s="3"/>
      <c r="D39" s="3"/>
      <c r="E39" s="3"/>
      <c r="F39" s="3"/>
      <c r="G39" s="4"/>
      <c r="H39" s="4"/>
      <c r="I39" s="4"/>
      <c r="J39" s="4"/>
      <c r="K39" s="4"/>
      <c r="L39" s="4"/>
      <c r="M39" s="4"/>
      <c r="N39" s="4"/>
      <c r="O39" s="8"/>
      <c r="P39"/>
      <c r="Q39" s="8"/>
      <c r="R39" s="8"/>
      <c r="S39" s="8"/>
      <c r="T39" s="8"/>
      <c r="U39" s="8"/>
      <c r="V39" s="11"/>
      <c r="AL39" s="5" t="s">
        <v>3</v>
      </c>
      <c r="AM39" s="17" t="s">
        <v>6</v>
      </c>
      <c r="AN39" s="16" t="s">
        <v>2</v>
      </c>
      <c r="AO39" s="17" t="s">
        <v>7</v>
      </c>
      <c r="AP39" s="17" t="s">
        <v>8</v>
      </c>
      <c r="AQ39" s="50">
        <v>2</v>
      </c>
    </row>
    <row r="40" spans="1:43" ht="12" customHeight="1" x14ac:dyDescent="0.25">
      <c r="O40" s="8"/>
      <c r="P40"/>
      <c r="Q40" s="8"/>
      <c r="R40" s="8"/>
      <c r="S40" s="8"/>
      <c r="T40" s="8"/>
      <c r="U40" s="8"/>
      <c r="V40" s="11"/>
    </row>
    <row r="41" spans="1:43" ht="12" customHeight="1" x14ac:dyDescent="0.25">
      <c r="R41"/>
    </row>
    <row r="42" spans="1:43" ht="12" customHeight="1" x14ac:dyDescent="0.25">
      <c r="AF42"/>
    </row>
    <row r="43" spans="1:43" ht="12" customHeight="1" x14ac:dyDescent="0.25">
      <c r="AF43"/>
    </row>
    <row r="44" spans="1:43" ht="12" customHeight="1" x14ac:dyDescent="0.25">
      <c r="AF44"/>
    </row>
    <row r="45" spans="1:43" ht="12" customHeight="1" x14ac:dyDescent="0.25">
      <c r="AF45"/>
    </row>
    <row r="46" spans="1:43" ht="12" customHeight="1" x14ac:dyDescent="0.25">
      <c r="AF46"/>
    </row>
    <row r="47" spans="1:43" ht="12" customHeight="1" x14ac:dyDescent="0.25">
      <c r="AF47"/>
    </row>
    <row r="48" spans="1:43" ht="12" customHeight="1" x14ac:dyDescent="0.25">
      <c r="AF48"/>
    </row>
    <row r="49" spans="32:32" ht="12" customHeight="1" x14ac:dyDescent="0.25">
      <c r="AF49"/>
    </row>
    <row r="50" spans="32:32" ht="12" customHeight="1" x14ac:dyDescent="0.25">
      <c r="AF50"/>
    </row>
    <row r="51" spans="32:32" ht="12" customHeight="1" x14ac:dyDescent="0.25">
      <c r="AF51"/>
    </row>
    <row r="52" spans="32:32" ht="12" customHeight="1" x14ac:dyDescent="0.25">
      <c r="AF52"/>
    </row>
    <row r="53" spans="32:32" ht="12" customHeight="1" x14ac:dyDescent="0.25">
      <c r="AF53"/>
    </row>
    <row r="54" spans="32:32" ht="12" customHeight="1" x14ac:dyDescent="0.25"/>
    <row r="55" spans="32:32" ht="12" customHeight="1" x14ac:dyDescent="0.25"/>
    <row r="56" spans="32:32" ht="12" customHeight="1" x14ac:dyDescent="0.25"/>
    <row r="57" spans="32:32" ht="12" customHeight="1" x14ac:dyDescent="0.25"/>
    <row r="58" spans="32:32" ht="12" customHeight="1" x14ac:dyDescent="0.25"/>
    <row r="59" spans="32:32" ht="12" customHeight="1" x14ac:dyDescent="0.25"/>
    <row r="60" spans="32:32" ht="12" customHeight="1" x14ac:dyDescent="0.25"/>
    <row r="61" spans="32:32" ht="12" customHeight="1" x14ac:dyDescent="0.25"/>
    <row r="62" spans="32:32" ht="12" customHeight="1" x14ac:dyDescent="0.25"/>
    <row r="63" spans="32:32" ht="12" customHeight="1" x14ac:dyDescent="0.25"/>
    <row r="64" spans="32:32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C3:F3"/>
    <mergeCell ref="P2:T2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D77"/>
  <sheetViews>
    <sheetView zoomScale="110" zoomScaleNormal="110" workbookViewId="0">
      <selection activeCell="P5" sqref="P5:V22"/>
    </sheetView>
  </sheetViews>
  <sheetFormatPr defaultRowHeight="15" x14ac:dyDescent="0.25"/>
  <cols>
    <col min="1" max="1" width="3.42578125" style="26" customWidth="1"/>
    <col min="2" max="2" width="3.42578125" customWidth="1"/>
    <col min="3" max="6" width="3.42578125" style="26" customWidth="1"/>
    <col min="7" max="7" width="3.7109375" style="39" customWidth="1"/>
    <col min="8" max="8" width="3.140625" style="39" customWidth="1"/>
    <col min="9" max="14" width="3.42578125" style="26" customWidth="1"/>
    <col min="15" max="15" width="4.42578125" style="26" customWidth="1"/>
    <col min="16" max="19" width="3.42578125" style="26" customWidth="1"/>
    <col min="20" max="20" width="3.42578125" customWidth="1"/>
    <col min="21" max="21" width="3.7109375" customWidth="1"/>
    <col min="22" max="27" width="3.140625" customWidth="1"/>
    <col min="28" max="30" width="3.140625" style="26" customWidth="1"/>
    <col min="31" max="64" width="3.140625" customWidth="1"/>
  </cols>
  <sheetData>
    <row r="1" spans="1:30" x14ac:dyDescent="0.25">
      <c r="A1" s="7" t="s">
        <v>23</v>
      </c>
      <c r="C1" s="2"/>
      <c r="O1" s="7" t="s">
        <v>24</v>
      </c>
      <c r="P1"/>
      <c r="Q1" s="2"/>
      <c r="T1" s="26"/>
      <c r="U1" s="26"/>
      <c r="V1" s="26"/>
      <c r="AA1" s="61">
        <v>3</v>
      </c>
      <c r="AB1" s="62"/>
    </row>
    <row r="2" spans="1:30" ht="12" customHeight="1" thickBot="1" x14ac:dyDescent="0.3">
      <c r="B2" s="59" t="s">
        <v>0</v>
      </c>
      <c r="C2" s="59"/>
      <c r="D2" s="59"/>
      <c r="E2" s="59"/>
      <c r="F2" s="59"/>
      <c r="P2" s="59" t="s">
        <v>0</v>
      </c>
      <c r="Q2" s="59"/>
      <c r="R2" s="59"/>
      <c r="S2" s="59"/>
      <c r="T2" s="59"/>
      <c r="U2" s="26"/>
      <c r="V2" s="26"/>
      <c r="AA2" s="63"/>
      <c r="AB2" s="64"/>
    </row>
    <row r="3" spans="1:30" ht="12" customHeight="1" x14ac:dyDescent="0.25">
      <c r="B3" s="27" t="s">
        <v>19</v>
      </c>
      <c r="C3" s="60" t="s">
        <v>1</v>
      </c>
      <c r="D3" s="60"/>
      <c r="E3" s="60"/>
      <c r="F3" s="60"/>
      <c r="P3" s="27" t="s">
        <v>19</v>
      </c>
      <c r="Q3" s="60" t="s">
        <v>1</v>
      </c>
      <c r="R3" s="60"/>
      <c r="S3" s="60"/>
      <c r="T3" s="60"/>
      <c r="U3" s="26"/>
      <c r="V3" s="26"/>
      <c r="AD3" s="38"/>
    </row>
    <row r="4" spans="1:30" ht="12" customHeight="1" x14ac:dyDescent="0.25">
      <c r="A4" s="26" t="s">
        <v>16</v>
      </c>
      <c r="B4" s="27"/>
      <c r="C4" s="15" t="s">
        <v>9</v>
      </c>
      <c r="D4" s="15" t="s">
        <v>9</v>
      </c>
      <c r="E4" s="15" t="s">
        <v>10</v>
      </c>
      <c r="F4" s="15" t="s">
        <v>11</v>
      </c>
      <c r="G4" s="39" t="s">
        <v>12</v>
      </c>
      <c r="H4" s="39" t="s">
        <v>15</v>
      </c>
      <c r="O4" s="26" t="s">
        <v>16</v>
      </c>
      <c r="P4" s="27"/>
      <c r="Q4" s="15" t="s">
        <v>9</v>
      </c>
      <c r="R4" s="15" t="s">
        <v>9</v>
      </c>
      <c r="S4" s="15" t="s">
        <v>10</v>
      </c>
      <c r="T4" s="15" t="s">
        <v>11</v>
      </c>
      <c r="U4" s="26" t="s">
        <v>12</v>
      </c>
      <c r="V4" s="26" t="s">
        <v>15</v>
      </c>
      <c r="AD4" s="38"/>
    </row>
    <row r="5" spans="1:30" ht="12" customHeight="1" x14ac:dyDescent="0.25">
      <c r="A5" s="26">
        <v>1</v>
      </c>
      <c r="B5" s="5" t="s">
        <v>20</v>
      </c>
      <c r="C5" s="17" t="s">
        <v>8</v>
      </c>
      <c r="D5" s="17" t="s">
        <v>8</v>
      </c>
      <c r="E5" s="17" t="s">
        <v>8</v>
      </c>
      <c r="F5" s="16" t="s">
        <v>2</v>
      </c>
      <c r="G5" s="39">
        <v>4</v>
      </c>
      <c r="H5" s="39">
        <v>1</v>
      </c>
      <c r="O5" s="26">
        <v>1</v>
      </c>
      <c r="P5" s="5" t="s">
        <v>21</v>
      </c>
      <c r="Q5" s="17" t="s">
        <v>2</v>
      </c>
      <c r="R5" s="17" t="s">
        <v>7</v>
      </c>
      <c r="S5" s="16" t="s">
        <v>6</v>
      </c>
      <c r="T5" s="17" t="s">
        <v>8</v>
      </c>
      <c r="U5" s="38">
        <v>3</v>
      </c>
      <c r="V5" s="26">
        <v>1</v>
      </c>
      <c r="AD5" s="38"/>
    </row>
    <row r="6" spans="1:30" ht="12" customHeight="1" x14ac:dyDescent="0.25">
      <c r="A6" s="26">
        <v>2</v>
      </c>
      <c r="B6" s="5" t="s">
        <v>21</v>
      </c>
      <c r="C6" s="17" t="s">
        <v>8</v>
      </c>
      <c r="D6" s="17" t="s">
        <v>2</v>
      </c>
      <c r="E6" s="16" t="s">
        <v>6</v>
      </c>
      <c r="F6" s="17" t="s">
        <v>8</v>
      </c>
      <c r="G6" s="39">
        <v>3</v>
      </c>
      <c r="H6" s="39">
        <v>1</v>
      </c>
      <c r="O6" s="26">
        <v>2</v>
      </c>
      <c r="P6" s="5" t="s">
        <v>22</v>
      </c>
      <c r="Q6" s="17" t="s">
        <v>6</v>
      </c>
      <c r="R6" s="17" t="s">
        <v>2</v>
      </c>
      <c r="S6" s="17" t="s">
        <v>8</v>
      </c>
      <c r="T6" s="16" t="s">
        <v>7</v>
      </c>
      <c r="U6" s="38">
        <v>4</v>
      </c>
      <c r="V6" s="26">
        <v>0</v>
      </c>
      <c r="AB6" s="38"/>
      <c r="AC6" s="38"/>
      <c r="AD6" s="38"/>
    </row>
    <row r="7" spans="1:30" ht="12" customHeight="1" x14ac:dyDescent="0.25">
      <c r="A7" s="26">
        <v>3</v>
      </c>
      <c r="B7" s="5" t="s">
        <v>22</v>
      </c>
      <c r="C7" s="17" t="s">
        <v>2</v>
      </c>
      <c r="D7" s="17" t="s">
        <v>6</v>
      </c>
      <c r="E7" s="17" t="s">
        <v>8</v>
      </c>
      <c r="F7" s="16" t="s">
        <v>7</v>
      </c>
      <c r="G7" s="39">
        <v>4</v>
      </c>
      <c r="H7" s="39">
        <v>1</v>
      </c>
      <c r="J7" s="4"/>
      <c r="O7" s="4">
        <v>3</v>
      </c>
      <c r="P7" s="5" t="s">
        <v>21</v>
      </c>
      <c r="Q7" s="16" t="s">
        <v>6</v>
      </c>
      <c r="R7" s="17" t="s">
        <v>2</v>
      </c>
      <c r="S7" s="17" t="s">
        <v>7</v>
      </c>
      <c r="T7" s="17" t="s">
        <v>8</v>
      </c>
      <c r="U7" s="38">
        <v>1</v>
      </c>
      <c r="V7" s="26">
        <v>0</v>
      </c>
      <c r="AB7" s="38"/>
      <c r="AC7" s="38"/>
      <c r="AD7" s="38"/>
    </row>
    <row r="8" spans="1:30" ht="12" customHeight="1" x14ac:dyDescent="0.25">
      <c r="A8" s="12">
        <v>4</v>
      </c>
      <c r="B8" s="5" t="s">
        <v>20</v>
      </c>
      <c r="C8" s="17" t="s">
        <v>6</v>
      </c>
      <c r="D8" s="16" t="s">
        <v>2</v>
      </c>
      <c r="E8" s="17" t="s">
        <v>7</v>
      </c>
      <c r="F8" s="17" t="s">
        <v>8</v>
      </c>
      <c r="G8" s="39">
        <v>2</v>
      </c>
      <c r="H8" s="39">
        <v>1</v>
      </c>
      <c r="J8" s="4"/>
      <c r="O8" s="4">
        <v>4</v>
      </c>
      <c r="P8" s="5" t="s">
        <v>20</v>
      </c>
      <c r="Q8" s="17" t="s">
        <v>7</v>
      </c>
      <c r="R8" s="17" t="s">
        <v>6</v>
      </c>
      <c r="S8" s="17" t="s">
        <v>8</v>
      </c>
      <c r="T8" s="16" t="s">
        <v>2</v>
      </c>
      <c r="U8" s="38">
        <v>4</v>
      </c>
      <c r="V8" s="26">
        <v>1</v>
      </c>
      <c r="AB8" s="38"/>
      <c r="AC8" s="38"/>
      <c r="AD8" s="38"/>
    </row>
    <row r="9" spans="1:30" ht="12" customHeight="1" x14ac:dyDescent="0.25">
      <c r="A9" s="12">
        <v>5</v>
      </c>
      <c r="B9" s="5" t="s">
        <v>20</v>
      </c>
      <c r="C9" s="17" t="s">
        <v>7</v>
      </c>
      <c r="D9" s="17" t="s">
        <v>8</v>
      </c>
      <c r="E9" s="16" t="s">
        <v>2</v>
      </c>
      <c r="F9" s="17" t="s">
        <v>6</v>
      </c>
      <c r="G9" s="39">
        <v>3</v>
      </c>
      <c r="H9" s="39">
        <v>1</v>
      </c>
      <c r="J9" s="4"/>
      <c r="O9" s="4">
        <v>5</v>
      </c>
      <c r="P9" s="5" t="s">
        <v>20</v>
      </c>
      <c r="Q9" s="17" t="s">
        <v>8</v>
      </c>
      <c r="R9" s="17" t="s">
        <v>6</v>
      </c>
      <c r="S9" s="16" t="s">
        <v>2</v>
      </c>
      <c r="T9" s="17" t="s">
        <v>7</v>
      </c>
      <c r="U9" s="38">
        <v>3</v>
      </c>
      <c r="V9" s="26">
        <v>0</v>
      </c>
      <c r="AB9" s="38"/>
      <c r="AC9" s="38"/>
      <c r="AD9" s="38"/>
    </row>
    <row r="10" spans="1:30" ht="12" customHeight="1" x14ac:dyDescent="0.25">
      <c r="A10" s="12">
        <v>6</v>
      </c>
      <c r="B10" s="5" t="s">
        <v>20</v>
      </c>
      <c r="C10" s="16" t="s">
        <v>2</v>
      </c>
      <c r="D10" s="17" t="s">
        <v>6</v>
      </c>
      <c r="E10" s="17" t="s">
        <v>8</v>
      </c>
      <c r="F10" s="17" t="s">
        <v>7</v>
      </c>
      <c r="G10" s="39">
        <v>1</v>
      </c>
      <c r="H10" s="39">
        <v>1</v>
      </c>
      <c r="J10" s="4"/>
      <c r="O10" s="4">
        <v>6</v>
      </c>
      <c r="P10" s="5" t="s">
        <v>20</v>
      </c>
      <c r="Q10" s="17" t="s">
        <v>6</v>
      </c>
      <c r="R10" s="17" t="s">
        <v>8</v>
      </c>
      <c r="S10" s="16" t="s">
        <v>2</v>
      </c>
      <c r="T10" s="17" t="s">
        <v>7</v>
      </c>
      <c r="U10" s="38">
        <v>3</v>
      </c>
      <c r="V10" s="26">
        <v>1</v>
      </c>
      <c r="AB10" s="38"/>
      <c r="AC10" s="38"/>
      <c r="AD10" s="38"/>
    </row>
    <row r="11" spans="1:30" ht="12" customHeight="1" x14ac:dyDescent="0.25">
      <c r="A11" s="13">
        <v>7</v>
      </c>
      <c r="B11" s="5" t="s">
        <v>21</v>
      </c>
      <c r="C11" s="17" t="s">
        <v>7</v>
      </c>
      <c r="D11" s="16" t="s">
        <v>6</v>
      </c>
      <c r="E11" s="17" t="s">
        <v>8</v>
      </c>
      <c r="F11" s="17" t="s">
        <v>2</v>
      </c>
      <c r="G11" s="39">
        <v>2</v>
      </c>
      <c r="H11" s="39">
        <v>1</v>
      </c>
      <c r="O11" s="4">
        <v>7</v>
      </c>
      <c r="P11" s="5" t="s">
        <v>20</v>
      </c>
      <c r="Q11" s="17" t="s">
        <v>7</v>
      </c>
      <c r="R11" s="17" t="s">
        <v>8</v>
      </c>
      <c r="S11" s="16" t="s">
        <v>2</v>
      </c>
      <c r="T11" s="17" t="s">
        <v>6</v>
      </c>
      <c r="U11" s="38">
        <v>3</v>
      </c>
      <c r="V11" s="26">
        <v>1</v>
      </c>
      <c r="AB11" s="38"/>
      <c r="AC11" s="38"/>
      <c r="AD11" s="38"/>
    </row>
    <row r="12" spans="1:30" ht="12" customHeight="1" x14ac:dyDescent="0.25">
      <c r="A12" s="13">
        <v>8</v>
      </c>
      <c r="B12" s="5" t="s">
        <v>21</v>
      </c>
      <c r="C12" s="17" t="s">
        <v>2</v>
      </c>
      <c r="D12" s="17" t="s">
        <v>8</v>
      </c>
      <c r="E12" s="16" t="s">
        <v>6</v>
      </c>
      <c r="F12" s="17" t="s">
        <v>7</v>
      </c>
      <c r="G12" s="39">
        <v>3</v>
      </c>
      <c r="H12" s="39">
        <v>1</v>
      </c>
      <c r="O12" s="4">
        <v>8</v>
      </c>
      <c r="P12" s="5" t="s">
        <v>21</v>
      </c>
      <c r="Q12" s="17" t="s">
        <v>7</v>
      </c>
      <c r="R12" s="17" t="s">
        <v>2</v>
      </c>
      <c r="S12" s="16" t="s">
        <v>6</v>
      </c>
      <c r="T12" s="17" t="s">
        <v>8</v>
      </c>
      <c r="U12" s="38">
        <v>3</v>
      </c>
      <c r="V12" s="26">
        <v>0</v>
      </c>
    </row>
    <row r="13" spans="1:30" ht="12" customHeight="1" x14ac:dyDescent="0.25">
      <c r="A13" s="13">
        <v>9</v>
      </c>
      <c r="B13" s="5" t="s">
        <v>21</v>
      </c>
      <c r="C13" s="17" t="s">
        <v>7</v>
      </c>
      <c r="D13" s="17" t="s">
        <v>2</v>
      </c>
      <c r="E13" s="16" t="s">
        <v>6</v>
      </c>
      <c r="F13" s="17" t="s">
        <v>8</v>
      </c>
      <c r="G13" s="39">
        <v>3</v>
      </c>
      <c r="H13" s="39">
        <v>1</v>
      </c>
      <c r="O13" s="4">
        <v>9</v>
      </c>
      <c r="P13" s="5" t="s">
        <v>22</v>
      </c>
      <c r="Q13" s="16" t="s">
        <v>7</v>
      </c>
      <c r="R13" s="17" t="s">
        <v>8</v>
      </c>
      <c r="S13" s="17" t="s">
        <v>2</v>
      </c>
      <c r="T13" s="17" t="s">
        <v>6</v>
      </c>
      <c r="U13" s="38">
        <v>1</v>
      </c>
      <c r="V13" s="26">
        <v>1</v>
      </c>
    </row>
    <row r="14" spans="1:30" ht="12" customHeight="1" x14ac:dyDescent="0.25">
      <c r="A14" s="14">
        <v>10</v>
      </c>
      <c r="B14" s="5" t="s">
        <v>22</v>
      </c>
      <c r="C14" s="17" t="s">
        <v>2</v>
      </c>
      <c r="D14" s="17" t="s">
        <v>8</v>
      </c>
      <c r="E14" s="17" t="s">
        <v>6</v>
      </c>
      <c r="F14" s="16" t="s">
        <v>7</v>
      </c>
      <c r="G14">
        <v>4</v>
      </c>
      <c r="H14" s="39">
        <v>1</v>
      </c>
      <c r="O14" s="4">
        <v>10</v>
      </c>
      <c r="P14" s="5" t="s">
        <v>22</v>
      </c>
      <c r="Q14" s="16" t="s">
        <v>7</v>
      </c>
      <c r="R14" s="17" t="s">
        <v>8</v>
      </c>
      <c r="S14" s="17" t="s">
        <v>6</v>
      </c>
      <c r="T14" s="17" t="s">
        <v>2</v>
      </c>
      <c r="U14" s="38">
        <v>1</v>
      </c>
      <c r="V14" s="26">
        <v>0</v>
      </c>
    </row>
    <row r="15" spans="1:30" ht="12" customHeight="1" x14ac:dyDescent="0.25">
      <c r="A15" s="14">
        <v>11</v>
      </c>
      <c r="B15" s="5" t="s">
        <v>22</v>
      </c>
      <c r="C15" s="16" t="s">
        <v>7</v>
      </c>
      <c r="D15" s="17" t="s">
        <v>6</v>
      </c>
      <c r="E15" s="17" t="s">
        <v>2</v>
      </c>
      <c r="F15" s="17" t="s">
        <v>8</v>
      </c>
      <c r="G15">
        <v>1</v>
      </c>
      <c r="H15" s="39">
        <v>1</v>
      </c>
      <c r="O15" s="4">
        <v>11</v>
      </c>
      <c r="P15" s="5" t="s">
        <v>22</v>
      </c>
      <c r="Q15" s="17" t="s">
        <v>8</v>
      </c>
      <c r="R15" s="16" t="s">
        <v>7</v>
      </c>
      <c r="S15" s="17" t="s">
        <v>2</v>
      </c>
      <c r="T15" s="17" t="s">
        <v>6</v>
      </c>
      <c r="U15" s="38">
        <v>2</v>
      </c>
      <c r="V15" s="26">
        <v>1</v>
      </c>
    </row>
    <row r="16" spans="1:30" ht="12" customHeight="1" x14ac:dyDescent="0.25">
      <c r="A16" s="14">
        <v>12</v>
      </c>
      <c r="B16" s="5" t="s">
        <v>22</v>
      </c>
      <c r="C16" s="17" t="s">
        <v>8</v>
      </c>
      <c r="D16" s="17" t="s">
        <v>2</v>
      </c>
      <c r="E16" s="16" t="s">
        <v>7</v>
      </c>
      <c r="F16" s="17" t="s">
        <v>6</v>
      </c>
      <c r="G16">
        <v>3</v>
      </c>
      <c r="H16" s="39">
        <v>1</v>
      </c>
      <c r="O16" s="4">
        <v>12</v>
      </c>
      <c r="P16" s="5" t="s">
        <v>22</v>
      </c>
      <c r="Q16" s="17" t="s">
        <v>8</v>
      </c>
      <c r="R16" s="17" t="s">
        <v>2</v>
      </c>
      <c r="S16" s="17" t="s">
        <v>6</v>
      </c>
      <c r="T16" s="16" t="s">
        <v>7</v>
      </c>
      <c r="U16" s="38">
        <v>4</v>
      </c>
      <c r="V16" s="26">
        <v>0</v>
      </c>
    </row>
    <row r="17" spans="1:27" ht="12" customHeight="1" x14ac:dyDescent="0.25">
      <c r="A17" s="26">
        <v>13</v>
      </c>
      <c r="B17" s="5" t="s">
        <v>20</v>
      </c>
      <c r="C17" s="17" t="s">
        <v>6</v>
      </c>
      <c r="D17" s="17" t="s">
        <v>8</v>
      </c>
      <c r="E17" s="16" t="s">
        <v>2</v>
      </c>
      <c r="F17" s="17" t="s">
        <v>7</v>
      </c>
      <c r="G17" s="39">
        <v>3</v>
      </c>
      <c r="H17" s="39">
        <v>1</v>
      </c>
      <c r="O17" s="4">
        <v>13</v>
      </c>
      <c r="P17" s="5" t="s">
        <v>21</v>
      </c>
      <c r="Q17" s="17" t="s">
        <v>8</v>
      </c>
      <c r="R17" s="17" t="s">
        <v>2</v>
      </c>
      <c r="S17" s="16" t="s">
        <v>6</v>
      </c>
      <c r="T17" s="17" t="s">
        <v>7</v>
      </c>
      <c r="U17" s="38">
        <v>3</v>
      </c>
      <c r="V17" s="26">
        <v>1</v>
      </c>
    </row>
    <row r="18" spans="1:27" ht="12" customHeight="1" x14ac:dyDescent="0.25">
      <c r="A18" s="26">
        <v>14</v>
      </c>
      <c r="B18" s="5" t="s">
        <v>22</v>
      </c>
      <c r="C18" s="17" t="s">
        <v>6</v>
      </c>
      <c r="D18" s="16" t="s">
        <v>7</v>
      </c>
      <c r="E18" s="17" t="s">
        <v>2</v>
      </c>
      <c r="F18" s="17" t="s">
        <v>8</v>
      </c>
      <c r="G18" s="39">
        <v>2</v>
      </c>
      <c r="H18" s="39">
        <v>1</v>
      </c>
      <c r="O18" s="26">
        <v>14</v>
      </c>
      <c r="P18" s="5" t="s">
        <v>20</v>
      </c>
      <c r="Q18" s="17" t="s">
        <v>6</v>
      </c>
      <c r="R18" s="16" t="s">
        <v>2</v>
      </c>
      <c r="S18" s="17" t="s">
        <v>7</v>
      </c>
      <c r="T18" s="17" t="s">
        <v>8</v>
      </c>
      <c r="U18" s="38">
        <v>2</v>
      </c>
      <c r="V18" s="26">
        <v>0</v>
      </c>
    </row>
    <row r="19" spans="1:27" ht="12" customHeight="1" x14ac:dyDescent="0.25">
      <c r="A19" s="26">
        <v>15</v>
      </c>
      <c r="B19" s="5" t="s">
        <v>20</v>
      </c>
      <c r="C19" s="17" t="s">
        <v>7</v>
      </c>
      <c r="D19" s="17" t="s">
        <v>6</v>
      </c>
      <c r="E19" s="16" t="s">
        <v>2</v>
      </c>
      <c r="F19" s="17" t="s">
        <v>8</v>
      </c>
      <c r="G19" s="39">
        <v>3</v>
      </c>
      <c r="H19" s="39">
        <v>1</v>
      </c>
      <c r="O19" s="26">
        <v>15</v>
      </c>
      <c r="P19" s="5" t="s">
        <v>22</v>
      </c>
      <c r="Q19" s="17" t="s">
        <v>8</v>
      </c>
      <c r="R19" s="17" t="s">
        <v>2</v>
      </c>
      <c r="S19" s="17" t="s">
        <v>6</v>
      </c>
      <c r="T19" s="16" t="s">
        <v>7</v>
      </c>
      <c r="U19" s="38">
        <v>4</v>
      </c>
      <c r="V19" s="26">
        <v>0</v>
      </c>
    </row>
    <row r="20" spans="1:27" ht="12" customHeight="1" x14ac:dyDescent="0.25">
      <c r="A20" s="26">
        <v>16</v>
      </c>
      <c r="B20" s="5" t="s">
        <v>21</v>
      </c>
      <c r="C20" s="17" t="s">
        <v>8</v>
      </c>
      <c r="D20" s="16" t="s">
        <v>6</v>
      </c>
      <c r="E20" s="17" t="s">
        <v>7</v>
      </c>
      <c r="F20" s="17" t="s">
        <v>2</v>
      </c>
      <c r="G20" s="39">
        <v>2</v>
      </c>
      <c r="H20" s="39">
        <v>1</v>
      </c>
      <c r="O20" s="26">
        <v>16</v>
      </c>
      <c r="P20" s="5" t="s">
        <v>20</v>
      </c>
      <c r="Q20" s="17" t="s">
        <v>6</v>
      </c>
      <c r="R20" s="17" t="s">
        <v>7</v>
      </c>
      <c r="S20" s="17" t="s">
        <v>8</v>
      </c>
      <c r="T20" s="16" t="s">
        <v>2</v>
      </c>
      <c r="U20" s="38">
        <v>4</v>
      </c>
      <c r="V20" s="26">
        <v>1</v>
      </c>
    </row>
    <row r="21" spans="1:27" ht="12" customHeight="1" x14ac:dyDescent="0.25">
      <c r="A21" s="26">
        <v>17</v>
      </c>
      <c r="B21" s="5" t="s">
        <v>20</v>
      </c>
      <c r="C21" s="17" t="s">
        <v>8</v>
      </c>
      <c r="D21" s="16" t="s">
        <v>2</v>
      </c>
      <c r="E21" s="17" t="s">
        <v>7</v>
      </c>
      <c r="F21" s="17" t="s">
        <v>6</v>
      </c>
      <c r="G21" s="39">
        <v>2</v>
      </c>
      <c r="H21" s="39">
        <v>1</v>
      </c>
      <c r="O21" s="26">
        <v>17</v>
      </c>
      <c r="P21" s="5" t="s">
        <v>21</v>
      </c>
      <c r="Q21" s="16" t="s">
        <v>6</v>
      </c>
      <c r="R21" s="17" t="s">
        <v>7</v>
      </c>
      <c r="S21" s="17" t="s">
        <v>8</v>
      </c>
      <c r="T21" s="17" t="s">
        <v>2</v>
      </c>
      <c r="U21" s="38">
        <v>1</v>
      </c>
      <c r="V21" s="26">
        <v>0</v>
      </c>
    </row>
    <row r="22" spans="1:27" ht="12" customHeight="1" x14ac:dyDescent="0.25">
      <c r="A22" s="26">
        <v>18</v>
      </c>
      <c r="B22" s="5" t="s">
        <v>22</v>
      </c>
      <c r="C22" s="16" t="s">
        <v>7</v>
      </c>
      <c r="D22" s="17" t="s">
        <v>2</v>
      </c>
      <c r="E22" s="17" t="s">
        <v>6</v>
      </c>
      <c r="F22" s="17" t="s">
        <v>8</v>
      </c>
      <c r="G22" s="39">
        <v>1</v>
      </c>
      <c r="H22" s="39">
        <v>1</v>
      </c>
      <c r="O22" s="26">
        <v>18</v>
      </c>
      <c r="P22" s="5" t="s">
        <v>21</v>
      </c>
      <c r="Q22" s="17" t="s">
        <v>2</v>
      </c>
      <c r="R22" s="16" t="s">
        <v>6</v>
      </c>
      <c r="S22" s="17" t="s">
        <v>7</v>
      </c>
      <c r="T22" s="17" t="s">
        <v>8</v>
      </c>
      <c r="U22" s="38">
        <v>2</v>
      </c>
      <c r="V22" s="26">
        <v>1</v>
      </c>
    </row>
    <row r="23" spans="1:27" ht="12" customHeight="1" x14ac:dyDescent="0.25">
      <c r="A23" s="26">
        <v>19</v>
      </c>
      <c r="B23" s="5" t="s">
        <v>21</v>
      </c>
      <c r="C23" s="17" t="s">
        <v>8</v>
      </c>
      <c r="D23" s="17" t="s">
        <v>2</v>
      </c>
      <c r="E23" s="16" t="s">
        <v>6</v>
      </c>
      <c r="F23" s="17" t="s">
        <v>7</v>
      </c>
      <c r="G23" s="39">
        <v>3</v>
      </c>
      <c r="H23" s="39">
        <v>1</v>
      </c>
      <c r="P23"/>
      <c r="T23" s="26"/>
      <c r="U23" s="26"/>
      <c r="V23" s="26"/>
    </row>
    <row r="24" spans="1:27" ht="12" customHeight="1" x14ac:dyDescent="0.25">
      <c r="A24" s="26">
        <v>20</v>
      </c>
      <c r="B24" s="5" t="s">
        <v>21</v>
      </c>
      <c r="C24" s="17" t="s">
        <v>7</v>
      </c>
      <c r="D24" s="17" t="s">
        <v>8</v>
      </c>
      <c r="E24" s="17" t="s">
        <v>2</v>
      </c>
      <c r="F24" s="16" t="s">
        <v>6</v>
      </c>
      <c r="G24" s="39">
        <v>4</v>
      </c>
      <c r="H24" s="39">
        <v>1</v>
      </c>
      <c r="O24" s="24" t="s">
        <v>20</v>
      </c>
      <c r="P24" s="25">
        <f>COUNTIF(P5:P22,"C1")</f>
        <v>6</v>
      </c>
      <c r="Q24" s="18" t="s">
        <v>2</v>
      </c>
      <c r="R24" s="18" t="s">
        <v>2</v>
      </c>
      <c r="S24" s="18" t="s">
        <v>2</v>
      </c>
      <c r="T24" s="18" t="s">
        <v>2</v>
      </c>
      <c r="U24" s="26"/>
      <c r="V24" s="26"/>
    </row>
    <row r="25" spans="1:27" ht="12" customHeight="1" x14ac:dyDescent="0.25">
      <c r="A25" s="26">
        <v>21</v>
      </c>
      <c r="B25" s="5" t="s">
        <v>22</v>
      </c>
      <c r="C25" s="17" t="s">
        <v>2</v>
      </c>
      <c r="D25" s="17" t="s">
        <v>8</v>
      </c>
      <c r="E25" s="17" t="s">
        <v>6</v>
      </c>
      <c r="F25" s="16" t="s">
        <v>7</v>
      </c>
      <c r="G25" s="39">
        <v>4</v>
      </c>
      <c r="H25" s="39">
        <v>1</v>
      </c>
      <c r="O25" s="24" t="s">
        <v>21</v>
      </c>
      <c r="P25" s="25">
        <f>COUNTIF(P5:P22,"C2")</f>
        <v>6</v>
      </c>
      <c r="Q25" s="3">
        <f>COUNTIF(Q5:Q22,"A1")</f>
        <v>2</v>
      </c>
      <c r="R25" s="3">
        <f t="shared" ref="R25:T25" si="0">COUNTIF(R5:R22,"A1")</f>
        <v>7</v>
      </c>
      <c r="S25" s="3">
        <f t="shared" si="0"/>
        <v>5</v>
      </c>
      <c r="T25" s="3">
        <f t="shared" si="0"/>
        <v>4</v>
      </c>
      <c r="U25" s="20">
        <f>SUM(Q25:T25)</f>
        <v>18</v>
      </c>
      <c r="V25" s="26"/>
    </row>
    <row r="26" spans="1:27" ht="12" customHeight="1" x14ac:dyDescent="0.25">
      <c r="A26" s="4"/>
      <c r="B26" s="3"/>
      <c r="C26" s="3"/>
      <c r="D26" s="3"/>
      <c r="E26" s="3"/>
      <c r="F26" s="3"/>
      <c r="O26" s="24" t="s">
        <v>22</v>
      </c>
      <c r="P26" s="25">
        <f>COUNTIF(P5:P22,"C3")</f>
        <v>6</v>
      </c>
      <c r="Q26" s="18" t="s">
        <v>6</v>
      </c>
      <c r="R26" s="18" t="s">
        <v>6</v>
      </c>
      <c r="S26" s="18" t="s">
        <v>6</v>
      </c>
      <c r="T26" s="18" t="s">
        <v>6</v>
      </c>
      <c r="U26" s="26"/>
      <c r="V26" s="26"/>
    </row>
    <row r="27" spans="1:27" ht="12" customHeight="1" x14ac:dyDescent="0.25">
      <c r="A27" s="24" t="s">
        <v>20</v>
      </c>
      <c r="B27" s="25">
        <f>COUNTIF(B5:C25,"C1")</f>
        <v>7</v>
      </c>
      <c r="C27" s="18" t="s">
        <v>2</v>
      </c>
      <c r="D27" s="18" t="s">
        <v>2</v>
      </c>
      <c r="E27" s="18" t="s">
        <v>2</v>
      </c>
      <c r="F27" s="18" t="s">
        <v>2</v>
      </c>
      <c r="O27" s="24" t="s">
        <v>2</v>
      </c>
      <c r="P27" s="25">
        <f>COUNTIF(P5:P22,"A1")</f>
        <v>0</v>
      </c>
      <c r="Q27" s="3">
        <f>COUNTIF(Q5:Q22,"A2")</f>
        <v>6</v>
      </c>
      <c r="R27" s="3">
        <f t="shared" ref="R27:T27" si="1">COUNTIF(R5:R22,"A2")</f>
        <v>3</v>
      </c>
      <c r="S27" s="3">
        <f t="shared" si="1"/>
        <v>6</v>
      </c>
      <c r="T27" s="3">
        <f t="shared" si="1"/>
        <v>3</v>
      </c>
      <c r="U27" s="20">
        <f>SUM(Q27:T27)</f>
        <v>18</v>
      </c>
      <c r="V27" s="26"/>
      <c r="AA27" s="26"/>
    </row>
    <row r="28" spans="1:27" ht="12" customHeight="1" x14ac:dyDescent="0.25">
      <c r="A28" s="24" t="s">
        <v>21</v>
      </c>
      <c r="B28" s="25">
        <f>COUNTIF(B5:C25,"C2")</f>
        <v>7</v>
      </c>
      <c r="C28" s="3">
        <f>COUNTIF(C5:C25,"A1")</f>
        <v>5</v>
      </c>
      <c r="D28" s="3">
        <f t="shared" ref="D28:F28" si="2">COUNTIF(D5:D25,"A1")</f>
        <v>7</v>
      </c>
      <c r="E28" s="3">
        <f t="shared" si="2"/>
        <v>6</v>
      </c>
      <c r="F28" s="3">
        <f t="shared" si="2"/>
        <v>3</v>
      </c>
      <c r="G28" s="37">
        <f>SUM(C28:F28)</f>
        <v>21</v>
      </c>
      <c r="O28" s="24" t="s">
        <v>6</v>
      </c>
      <c r="P28" s="25">
        <f>COUNTIF(P5:P22,"A21")</f>
        <v>0</v>
      </c>
      <c r="Q28" s="18" t="s">
        <v>7</v>
      </c>
      <c r="R28" s="18" t="s">
        <v>7</v>
      </c>
      <c r="S28" s="18" t="s">
        <v>7</v>
      </c>
      <c r="T28" s="18" t="s">
        <v>7</v>
      </c>
      <c r="U28" s="26"/>
      <c r="V28" s="26"/>
      <c r="AA28" s="26"/>
    </row>
    <row r="29" spans="1:27" ht="12" customHeight="1" x14ac:dyDescent="0.25">
      <c r="A29" s="24" t="s">
        <v>22</v>
      </c>
      <c r="B29" s="25">
        <f>COUNTIF(B5:C25,"C3")</f>
        <v>7</v>
      </c>
      <c r="C29" s="18" t="s">
        <v>6</v>
      </c>
      <c r="D29" s="18" t="s">
        <v>6</v>
      </c>
      <c r="E29" s="18" t="s">
        <v>6</v>
      </c>
      <c r="F29" s="18" t="s">
        <v>6</v>
      </c>
      <c r="O29" s="24" t="s">
        <v>7</v>
      </c>
      <c r="P29" s="25">
        <f>COUNTIF(P5:P22,"A3")</f>
        <v>0</v>
      </c>
      <c r="Q29" s="3">
        <f>COUNTIF(Q5:Q22,"A3")</f>
        <v>5</v>
      </c>
      <c r="R29" s="3">
        <f t="shared" ref="R29:T29" si="3">COUNTIF(R5:R22,"A3")</f>
        <v>4</v>
      </c>
      <c r="S29" s="3">
        <f t="shared" si="3"/>
        <v>3</v>
      </c>
      <c r="T29" s="3">
        <f t="shared" si="3"/>
        <v>6</v>
      </c>
      <c r="U29" s="20">
        <f>SUM(Q29:T29)</f>
        <v>18</v>
      </c>
      <c r="V29" s="26"/>
      <c r="AA29" s="26"/>
    </row>
    <row r="30" spans="1:27" ht="12" customHeight="1" x14ac:dyDescent="0.25">
      <c r="A30" s="24" t="s">
        <v>2</v>
      </c>
      <c r="B30" s="25">
        <f>COUNTIF(B5:C25,"A1")</f>
        <v>5</v>
      </c>
      <c r="C30" s="3">
        <f>COUNTIF(C5:C25,"A2")</f>
        <v>3</v>
      </c>
      <c r="D30" s="3">
        <f t="shared" ref="D30:F30" si="4">COUNTIF(D5:D25,"A2")</f>
        <v>6</v>
      </c>
      <c r="E30" s="3">
        <f t="shared" si="4"/>
        <v>7</v>
      </c>
      <c r="F30" s="3">
        <f t="shared" si="4"/>
        <v>4</v>
      </c>
      <c r="G30" s="37">
        <f>SUM(C30:F30)</f>
        <v>20</v>
      </c>
      <c r="O30" s="4"/>
      <c r="P30" s="3"/>
      <c r="Q30" s="18" t="s">
        <v>20</v>
      </c>
      <c r="R30" s="18" t="s">
        <v>20</v>
      </c>
      <c r="S30" s="18" t="s">
        <v>20</v>
      </c>
      <c r="T30" s="18" t="s">
        <v>20</v>
      </c>
      <c r="U30" s="26"/>
      <c r="V30" s="26"/>
      <c r="AA30" s="26"/>
    </row>
    <row r="31" spans="1:27" ht="12" customHeight="1" x14ac:dyDescent="0.25">
      <c r="A31" s="24" t="s">
        <v>6</v>
      </c>
      <c r="B31" s="25">
        <f>COUNTIF(B5:C25,"A2")</f>
        <v>3</v>
      </c>
      <c r="C31" s="18" t="s">
        <v>7</v>
      </c>
      <c r="D31" s="18" t="s">
        <v>7</v>
      </c>
      <c r="E31" s="18" t="s">
        <v>7</v>
      </c>
      <c r="F31" s="18" t="s">
        <v>7</v>
      </c>
      <c r="O31" s="4"/>
      <c r="P31" s="3"/>
      <c r="Q31" s="3">
        <f>COUNTIF(Q5:Q22,"C1")</f>
        <v>0</v>
      </c>
      <c r="R31" s="3">
        <f t="shared" ref="R31:T31" si="5">COUNTIF(R5:R22,"C1")</f>
        <v>0</v>
      </c>
      <c r="S31" s="3">
        <f t="shared" si="5"/>
        <v>0</v>
      </c>
      <c r="T31" s="3">
        <f t="shared" si="5"/>
        <v>0</v>
      </c>
      <c r="U31" s="20">
        <f>SUM(Q31:T31)</f>
        <v>0</v>
      </c>
      <c r="V31" s="26"/>
      <c r="AA31" s="26"/>
    </row>
    <row r="32" spans="1:27" ht="12" customHeight="1" x14ac:dyDescent="0.25">
      <c r="A32" s="24" t="s">
        <v>7</v>
      </c>
      <c r="B32" s="25">
        <f>COUNTIF(B5:C25,"A3")</f>
        <v>7</v>
      </c>
      <c r="C32" s="3">
        <f>COUNTIF(C5:C25,"A3")</f>
        <v>7</v>
      </c>
      <c r="D32" s="3">
        <f t="shared" ref="D32:F32" si="6">COUNTIF(D5:D25,"A3")</f>
        <v>1</v>
      </c>
      <c r="E32" s="3">
        <f t="shared" si="6"/>
        <v>4</v>
      </c>
      <c r="F32" s="3">
        <f t="shared" si="6"/>
        <v>7</v>
      </c>
      <c r="G32" s="37">
        <f>SUM(C32:F32)</f>
        <v>19</v>
      </c>
      <c r="O32" s="4"/>
      <c r="P32" s="3"/>
      <c r="Q32" s="18" t="s">
        <v>21</v>
      </c>
      <c r="R32" s="18" t="s">
        <v>21</v>
      </c>
      <c r="S32" s="18" t="s">
        <v>21</v>
      </c>
      <c r="T32" s="18" t="s">
        <v>21</v>
      </c>
      <c r="U32" s="26"/>
      <c r="V32" s="26"/>
      <c r="AA32" s="26"/>
    </row>
    <row r="33" spans="1:27" ht="12" customHeight="1" x14ac:dyDescent="0.25">
      <c r="A33" s="4"/>
      <c r="B33" s="3"/>
      <c r="C33" s="18" t="s">
        <v>20</v>
      </c>
      <c r="D33" s="18" t="s">
        <v>20</v>
      </c>
      <c r="E33" s="18" t="s">
        <v>20</v>
      </c>
      <c r="F33" s="18" t="s">
        <v>20</v>
      </c>
      <c r="O33" s="4"/>
      <c r="P33" s="3"/>
      <c r="Q33" s="3">
        <f>COUNTIF(Q5:Q22,"C2")</f>
        <v>0</v>
      </c>
      <c r="R33" s="3">
        <f t="shared" ref="R33:T33" si="7">COUNTIF(R5:R22,"C2")</f>
        <v>0</v>
      </c>
      <c r="S33" s="3">
        <f t="shared" si="7"/>
        <v>0</v>
      </c>
      <c r="T33" s="3">
        <f t="shared" si="7"/>
        <v>0</v>
      </c>
      <c r="U33" s="20">
        <f>SUM(Q33:T33)</f>
        <v>0</v>
      </c>
      <c r="V33" s="26"/>
      <c r="AA33" s="26"/>
    </row>
    <row r="34" spans="1:27" ht="12" customHeight="1" x14ac:dyDescent="0.25">
      <c r="A34" s="4"/>
      <c r="B34" s="3"/>
      <c r="C34" s="3">
        <f>COUNTIF(C5:C25,"C1")</f>
        <v>0</v>
      </c>
      <c r="D34" s="3">
        <f>COUNTIF(D5:D25,"C1")</f>
        <v>0</v>
      </c>
      <c r="E34" s="3">
        <f>COUNTIF(E5:E25,"C1")</f>
        <v>0</v>
      </c>
      <c r="F34" s="3">
        <f>COUNTIF(F5:F25,"C1")</f>
        <v>0</v>
      </c>
      <c r="G34" s="37">
        <f>SUM(C34:F34)</f>
        <v>0</v>
      </c>
      <c r="O34" s="4"/>
      <c r="P34" s="3"/>
      <c r="Q34" s="18" t="s">
        <v>22</v>
      </c>
      <c r="R34" s="18" t="s">
        <v>22</v>
      </c>
      <c r="S34" s="18" t="s">
        <v>22</v>
      </c>
      <c r="T34" s="18" t="s">
        <v>22</v>
      </c>
      <c r="U34" s="26"/>
      <c r="V34" s="26"/>
      <c r="AA34" s="26"/>
    </row>
    <row r="35" spans="1:27" ht="12" customHeight="1" x14ac:dyDescent="0.25">
      <c r="A35" s="4"/>
      <c r="B35" s="3"/>
      <c r="C35" s="18" t="s">
        <v>21</v>
      </c>
      <c r="D35" s="18" t="s">
        <v>21</v>
      </c>
      <c r="E35" s="18" t="s">
        <v>21</v>
      </c>
      <c r="F35" s="18" t="s">
        <v>21</v>
      </c>
      <c r="O35" s="4"/>
      <c r="P35" s="3"/>
      <c r="Q35" s="3">
        <f>COUNTIF(Q5:Q22,"C3")</f>
        <v>0</v>
      </c>
      <c r="R35" s="3">
        <f t="shared" ref="R35:T35" si="8">COUNTIF(R5:R22,"C3")</f>
        <v>0</v>
      </c>
      <c r="S35" s="3">
        <f t="shared" si="8"/>
        <v>0</v>
      </c>
      <c r="T35" s="3">
        <f t="shared" si="8"/>
        <v>0</v>
      </c>
      <c r="U35" s="20">
        <f>SUM(Q35:T35)</f>
        <v>0</v>
      </c>
      <c r="V35" s="26"/>
      <c r="AA35" s="26"/>
    </row>
    <row r="36" spans="1:27" ht="12" customHeight="1" x14ac:dyDescent="0.25">
      <c r="A36" s="4"/>
      <c r="B36" s="3"/>
      <c r="C36" s="3">
        <f>COUNTIF(C5:C25,"C2")</f>
        <v>0</v>
      </c>
      <c r="D36" s="3">
        <f>COUNTIF(D5:D25,"C2")</f>
        <v>0</v>
      </c>
      <c r="E36" s="3">
        <f>COUNTIF(E5:E25,"C2")</f>
        <v>0</v>
      </c>
      <c r="F36" s="3">
        <f>COUNTIF(F5:F25,"C2")</f>
        <v>0</v>
      </c>
      <c r="G36" s="37">
        <f>SUM(C36:F36)</f>
        <v>0</v>
      </c>
      <c r="P36"/>
      <c r="T36" s="26"/>
      <c r="U36" s="26"/>
      <c r="V36" s="26"/>
      <c r="AA36" s="26"/>
    </row>
    <row r="37" spans="1:27" ht="12" customHeight="1" x14ac:dyDescent="0.25">
      <c r="A37" s="4"/>
      <c r="B37" s="3"/>
      <c r="C37" s="18" t="s">
        <v>22</v>
      </c>
      <c r="D37" s="18" t="s">
        <v>22</v>
      </c>
      <c r="E37" s="18" t="s">
        <v>22</v>
      </c>
      <c r="F37" s="18" t="s">
        <v>22</v>
      </c>
      <c r="P37"/>
      <c r="T37" s="26"/>
      <c r="U37" s="26"/>
      <c r="V37" s="26"/>
      <c r="AA37" s="26"/>
    </row>
    <row r="38" spans="1:27" ht="12" customHeight="1" x14ac:dyDescent="0.25">
      <c r="A38" s="4"/>
      <c r="B38" s="3"/>
      <c r="C38" s="3">
        <f>COUNTIF(C5:C25,"C2")</f>
        <v>0</v>
      </c>
      <c r="D38" s="3">
        <f>COUNTIF(D5:D25,"C2")</f>
        <v>0</v>
      </c>
      <c r="E38" s="3">
        <f>COUNTIF(E5:E25,"C2")</f>
        <v>0</v>
      </c>
      <c r="F38" s="3">
        <f>COUNTIF(F5:F25,"C2")</f>
        <v>0</v>
      </c>
      <c r="G38" s="37">
        <f>SUM(C38:F38)</f>
        <v>0</v>
      </c>
      <c r="P38"/>
      <c r="T38" s="26"/>
      <c r="U38" s="26"/>
      <c r="V38" s="26"/>
      <c r="AA38" s="26"/>
    </row>
    <row r="39" spans="1:27" ht="12" customHeight="1" x14ac:dyDescent="0.25">
      <c r="A39" s="4"/>
      <c r="B39" s="3"/>
      <c r="C39" s="3"/>
      <c r="D39" s="3"/>
      <c r="E39" s="3"/>
      <c r="F39" s="3"/>
      <c r="G39" s="33"/>
      <c r="H39" s="33"/>
      <c r="I39" s="4"/>
      <c r="J39" s="4"/>
      <c r="K39" s="4"/>
      <c r="L39" s="4"/>
      <c r="M39" s="4"/>
      <c r="N39" s="4"/>
      <c r="P39"/>
      <c r="T39" s="26"/>
      <c r="U39" s="26"/>
      <c r="V39" s="26"/>
    </row>
    <row r="40" spans="1:27" ht="12" customHeight="1" x14ac:dyDescent="0.25">
      <c r="P40"/>
      <c r="T40" s="26"/>
      <c r="U40" s="26"/>
      <c r="V40" s="2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5">
    <mergeCell ref="B2:F2"/>
    <mergeCell ref="P2:T2"/>
    <mergeCell ref="C3:F3"/>
    <mergeCell ref="Q3:T3"/>
    <mergeCell ref="AA1:AB2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F74"/>
  <sheetViews>
    <sheetView zoomScale="110" zoomScaleNormal="110" workbookViewId="0">
      <selection activeCell="H40" sqref="H5:H40"/>
    </sheetView>
  </sheetViews>
  <sheetFormatPr defaultRowHeight="15" x14ac:dyDescent="0.25"/>
  <cols>
    <col min="1" max="1" width="3.42578125" style="4" customWidth="1"/>
    <col min="2" max="2" width="3.42578125" customWidth="1"/>
    <col min="3" max="6" width="3.42578125" style="50" customWidth="1"/>
    <col min="7" max="7" width="3.7109375" style="50" customWidth="1"/>
    <col min="8" max="8" width="3.140625" style="50" customWidth="1"/>
    <col min="9" max="14" width="3.42578125" style="50" customWidth="1"/>
    <col min="15" max="15" width="4.42578125" style="50" customWidth="1"/>
    <col min="16" max="19" width="3.42578125" style="50" customWidth="1"/>
    <col min="20" max="20" width="3.42578125" customWidth="1"/>
    <col min="21" max="21" width="3.7109375" customWidth="1"/>
    <col min="22" max="27" width="3.140625" customWidth="1"/>
    <col min="28" max="32" width="3.140625" style="50" customWidth="1"/>
    <col min="33" max="36" width="3.140625" customWidth="1"/>
    <col min="37" max="37" width="3.28515625" customWidth="1"/>
    <col min="38" max="63" width="3.140625" customWidth="1"/>
  </cols>
  <sheetData>
    <row r="1" spans="1:27" x14ac:dyDescent="0.25">
      <c r="A1" s="54"/>
      <c r="C1" s="2"/>
      <c r="O1" s="7" t="s">
        <v>17</v>
      </c>
      <c r="P1"/>
      <c r="Q1" s="2"/>
      <c r="T1" s="50"/>
      <c r="U1" s="50"/>
      <c r="V1" s="50"/>
      <c r="AA1" t="s">
        <v>61</v>
      </c>
    </row>
    <row r="2" spans="1:27" ht="12" customHeight="1" x14ac:dyDescent="0.25">
      <c r="B2" s="59" t="s">
        <v>0</v>
      </c>
      <c r="C2" s="59"/>
      <c r="D2" s="59"/>
      <c r="E2" s="59"/>
      <c r="F2" s="59"/>
      <c r="P2" s="59" t="s">
        <v>0</v>
      </c>
      <c r="Q2" s="59"/>
      <c r="R2" s="59"/>
      <c r="S2" s="59"/>
      <c r="T2" s="59"/>
      <c r="U2" s="50"/>
      <c r="V2" s="50"/>
    </row>
    <row r="3" spans="1:27" ht="12" customHeight="1" x14ac:dyDescent="0.25">
      <c r="B3" s="51" t="s">
        <v>19</v>
      </c>
      <c r="C3" s="60" t="s">
        <v>1</v>
      </c>
      <c r="D3" s="60"/>
      <c r="E3" s="60"/>
      <c r="F3" s="60"/>
      <c r="P3" s="51" t="s">
        <v>19</v>
      </c>
      <c r="Q3" s="60" t="s">
        <v>1</v>
      </c>
      <c r="R3" s="60"/>
      <c r="S3" s="60"/>
      <c r="T3" s="60"/>
      <c r="U3" s="50"/>
      <c r="V3" s="50"/>
    </row>
    <row r="4" spans="1:27" ht="12" customHeight="1" x14ac:dyDescent="0.25">
      <c r="B4" s="51"/>
      <c r="C4" s="15" t="s">
        <v>9</v>
      </c>
      <c r="D4" s="15" t="s">
        <v>9</v>
      </c>
      <c r="E4" s="15" t="s">
        <v>10</v>
      </c>
      <c r="F4" s="15" t="s">
        <v>11</v>
      </c>
      <c r="G4" s="50" t="s">
        <v>12</v>
      </c>
      <c r="H4" s="50" t="s">
        <v>15</v>
      </c>
      <c r="O4" s="50" t="s">
        <v>16</v>
      </c>
      <c r="P4" s="51"/>
      <c r="Q4" s="15" t="s">
        <v>9</v>
      </c>
      <c r="R4" s="15" t="s">
        <v>9</v>
      </c>
      <c r="S4" s="15" t="s">
        <v>10</v>
      </c>
      <c r="T4" s="15" t="s">
        <v>11</v>
      </c>
      <c r="U4" s="50" t="s">
        <v>12</v>
      </c>
      <c r="V4" s="50" t="s">
        <v>15</v>
      </c>
    </row>
    <row r="5" spans="1:27" ht="12" customHeight="1" x14ac:dyDescent="0.25">
      <c r="B5" s="5" t="s">
        <v>5</v>
      </c>
      <c r="C5" s="17" t="s">
        <v>6</v>
      </c>
      <c r="D5" s="17" t="s">
        <v>2</v>
      </c>
      <c r="E5" s="17" t="s">
        <v>8</v>
      </c>
      <c r="F5" s="16" t="s">
        <v>7</v>
      </c>
      <c r="G5" s="52">
        <v>4</v>
      </c>
      <c r="H5" s="52">
        <v>0</v>
      </c>
      <c r="O5" s="50">
        <v>1</v>
      </c>
      <c r="P5" s="5" t="s">
        <v>4</v>
      </c>
      <c r="Q5" s="16" t="s">
        <v>6</v>
      </c>
      <c r="R5" s="17" t="s">
        <v>2</v>
      </c>
      <c r="S5" s="17" t="s">
        <v>7</v>
      </c>
      <c r="T5" s="17" t="s">
        <v>8</v>
      </c>
      <c r="U5" s="50">
        <v>1</v>
      </c>
      <c r="V5" s="50">
        <v>1</v>
      </c>
    </row>
    <row r="6" spans="1:27" ht="12" customHeight="1" x14ac:dyDescent="0.25">
      <c r="B6" s="5" t="s">
        <v>5</v>
      </c>
      <c r="C6" s="16" t="s">
        <v>7</v>
      </c>
      <c r="D6" s="17" t="s">
        <v>8</v>
      </c>
      <c r="E6" s="17" t="s">
        <v>2</v>
      </c>
      <c r="F6" s="17" t="s">
        <v>6</v>
      </c>
      <c r="G6" s="52">
        <v>1</v>
      </c>
      <c r="H6" s="52">
        <v>1</v>
      </c>
      <c r="O6" s="50">
        <v>2</v>
      </c>
      <c r="P6" s="5" t="s">
        <v>3</v>
      </c>
      <c r="Q6" s="17" t="s">
        <v>7</v>
      </c>
      <c r="R6" s="17" t="s">
        <v>6</v>
      </c>
      <c r="S6" s="17" t="s">
        <v>8</v>
      </c>
      <c r="T6" s="16" t="s">
        <v>2</v>
      </c>
      <c r="U6" s="50">
        <v>4</v>
      </c>
      <c r="V6" s="50">
        <v>0</v>
      </c>
    </row>
    <row r="7" spans="1:27" ht="12" customHeight="1" x14ac:dyDescent="0.25">
      <c r="B7" s="5" t="s">
        <v>22</v>
      </c>
      <c r="C7" s="17" t="s">
        <v>8</v>
      </c>
      <c r="D7" s="16" t="s">
        <v>7</v>
      </c>
      <c r="E7" s="17" t="s">
        <v>2</v>
      </c>
      <c r="F7" s="17" t="s">
        <v>6</v>
      </c>
      <c r="G7" s="52">
        <v>2</v>
      </c>
      <c r="H7" s="52">
        <v>1</v>
      </c>
      <c r="O7" s="4">
        <v>3</v>
      </c>
      <c r="P7" s="5" t="s">
        <v>5</v>
      </c>
      <c r="Q7" s="16" t="s">
        <v>7</v>
      </c>
      <c r="R7" s="17" t="s">
        <v>8</v>
      </c>
      <c r="S7" s="17" t="s">
        <v>6</v>
      </c>
      <c r="T7" s="17" t="s">
        <v>2</v>
      </c>
      <c r="U7" s="50">
        <v>1</v>
      </c>
      <c r="V7" s="50">
        <v>1</v>
      </c>
    </row>
    <row r="8" spans="1:27" ht="12" customHeight="1" x14ac:dyDescent="0.25">
      <c r="B8" s="5" t="s">
        <v>20</v>
      </c>
      <c r="C8" s="17" t="s">
        <v>8</v>
      </c>
      <c r="D8" s="17" t="s">
        <v>6</v>
      </c>
      <c r="E8" s="16" t="s">
        <v>2</v>
      </c>
      <c r="F8" s="17" t="s">
        <v>7</v>
      </c>
      <c r="G8" s="52">
        <v>3</v>
      </c>
      <c r="H8" s="52">
        <v>0</v>
      </c>
      <c r="O8" s="4">
        <v>4</v>
      </c>
      <c r="P8" s="5" t="s">
        <v>5</v>
      </c>
      <c r="Q8" s="17" t="s">
        <v>6</v>
      </c>
      <c r="R8" s="17" t="s">
        <v>2</v>
      </c>
      <c r="S8" s="17" t="s">
        <v>8</v>
      </c>
      <c r="T8" s="16" t="s">
        <v>7</v>
      </c>
      <c r="U8" s="50">
        <v>4</v>
      </c>
      <c r="V8" s="50">
        <v>0</v>
      </c>
    </row>
    <row r="9" spans="1:27" ht="12" customHeight="1" x14ac:dyDescent="0.25">
      <c r="B9" s="5" t="s">
        <v>4</v>
      </c>
      <c r="C9" s="17" t="s">
        <v>2</v>
      </c>
      <c r="D9" s="17" t="s">
        <v>7</v>
      </c>
      <c r="E9" s="16" t="s">
        <v>6</v>
      </c>
      <c r="F9" s="17" t="s">
        <v>8</v>
      </c>
      <c r="G9" s="52">
        <v>3</v>
      </c>
      <c r="H9" s="52">
        <v>0</v>
      </c>
      <c r="O9" s="4">
        <v>5</v>
      </c>
      <c r="P9" s="5" t="s">
        <v>3</v>
      </c>
      <c r="Q9" s="17" t="s">
        <v>6</v>
      </c>
      <c r="R9" s="16" t="s">
        <v>2</v>
      </c>
      <c r="S9" s="17" t="s">
        <v>7</v>
      </c>
      <c r="T9" s="17" t="s">
        <v>8</v>
      </c>
      <c r="U9" s="50">
        <v>2</v>
      </c>
      <c r="V9" s="50">
        <v>0</v>
      </c>
    </row>
    <row r="10" spans="1:27" ht="12" customHeight="1" x14ac:dyDescent="0.25">
      <c r="B10" s="5" t="s">
        <v>4</v>
      </c>
      <c r="C10" s="17" t="s">
        <v>8</v>
      </c>
      <c r="D10" s="17" t="s">
        <v>2</v>
      </c>
      <c r="E10" s="16" t="s">
        <v>6</v>
      </c>
      <c r="F10" s="17" t="s">
        <v>7</v>
      </c>
      <c r="G10" s="52">
        <v>3</v>
      </c>
      <c r="H10" s="52">
        <v>1</v>
      </c>
      <c r="O10" s="4">
        <v>6</v>
      </c>
      <c r="P10" s="5" t="s">
        <v>5</v>
      </c>
      <c r="Q10" s="17" t="s">
        <v>8</v>
      </c>
      <c r="R10" s="17" t="s">
        <v>2</v>
      </c>
      <c r="S10" s="17" t="s">
        <v>6</v>
      </c>
      <c r="T10" s="16" t="s">
        <v>7</v>
      </c>
      <c r="U10" s="50">
        <v>4</v>
      </c>
      <c r="V10" s="50">
        <v>1</v>
      </c>
    </row>
    <row r="11" spans="1:27" ht="12" customHeight="1" x14ac:dyDescent="0.25">
      <c r="B11" s="5" t="s">
        <v>22</v>
      </c>
      <c r="C11" s="17" t="s">
        <v>6</v>
      </c>
      <c r="D11" s="17" t="s">
        <v>2</v>
      </c>
      <c r="E11" s="17" t="s">
        <v>8</v>
      </c>
      <c r="F11" s="16" t="s">
        <v>7</v>
      </c>
      <c r="G11" s="52">
        <v>4</v>
      </c>
      <c r="H11" s="52">
        <v>0</v>
      </c>
      <c r="O11" s="4">
        <v>7</v>
      </c>
      <c r="P11" s="5" t="s">
        <v>4</v>
      </c>
      <c r="Q11" s="17" t="s">
        <v>7</v>
      </c>
      <c r="R11" s="17" t="s">
        <v>2</v>
      </c>
      <c r="S11" s="16" t="s">
        <v>6</v>
      </c>
      <c r="T11" s="17" t="s">
        <v>8</v>
      </c>
      <c r="U11" s="50">
        <v>3</v>
      </c>
      <c r="V11" s="50">
        <v>0</v>
      </c>
    </row>
    <row r="12" spans="1:27" ht="12" customHeight="1" x14ac:dyDescent="0.25">
      <c r="B12" s="5" t="s">
        <v>3</v>
      </c>
      <c r="C12" s="17" t="s">
        <v>6</v>
      </c>
      <c r="D12" s="17" t="s">
        <v>7</v>
      </c>
      <c r="E12" s="17" t="s">
        <v>8</v>
      </c>
      <c r="F12" s="16" t="s">
        <v>2</v>
      </c>
      <c r="G12" s="52">
        <v>4</v>
      </c>
      <c r="H12" s="52">
        <v>1</v>
      </c>
      <c r="O12" s="4">
        <v>8</v>
      </c>
      <c r="P12" s="5" t="s">
        <v>4</v>
      </c>
      <c r="Q12" s="17" t="s">
        <v>2</v>
      </c>
      <c r="R12" s="16" t="s">
        <v>6</v>
      </c>
      <c r="S12" s="17" t="s">
        <v>7</v>
      </c>
      <c r="T12" s="17" t="s">
        <v>8</v>
      </c>
      <c r="U12" s="50">
        <v>2</v>
      </c>
      <c r="V12" s="50">
        <v>1</v>
      </c>
    </row>
    <row r="13" spans="1:27" ht="12" customHeight="1" x14ac:dyDescent="0.25">
      <c r="B13" s="5" t="s">
        <v>21</v>
      </c>
      <c r="C13" s="16" t="s">
        <v>6</v>
      </c>
      <c r="D13" s="17" t="s">
        <v>7</v>
      </c>
      <c r="E13" s="17" t="s">
        <v>8</v>
      </c>
      <c r="F13" s="17" t="s">
        <v>2</v>
      </c>
      <c r="G13" s="52">
        <v>1</v>
      </c>
      <c r="H13" s="52">
        <v>0</v>
      </c>
      <c r="O13" s="4">
        <v>9</v>
      </c>
      <c r="P13" s="5" t="s">
        <v>5</v>
      </c>
      <c r="Q13" s="16" t="s">
        <v>7</v>
      </c>
      <c r="R13" s="17" t="s">
        <v>8</v>
      </c>
      <c r="S13" s="17" t="s">
        <v>2</v>
      </c>
      <c r="T13" s="17" t="s">
        <v>6</v>
      </c>
      <c r="U13" s="50">
        <v>1</v>
      </c>
      <c r="V13" s="50">
        <v>1</v>
      </c>
    </row>
    <row r="14" spans="1:27" ht="12" customHeight="1" x14ac:dyDescent="0.25">
      <c r="B14" s="5" t="s">
        <v>3</v>
      </c>
      <c r="C14" s="17" t="s">
        <v>8</v>
      </c>
      <c r="D14" s="17" t="s">
        <v>6</v>
      </c>
      <c r="E14" s="16" t="s">
        <v>2</v>
      </c>
      <c r="F14" s="17" t="s">
        <v>7</v>
      </c>
      <c r="G14" s="52">
        <v>3</v>
      </c>
      <c r="H14" s="52">
        <v>0</v>
      </c>
      <c r="O14" s="4">
        <v>10</v>
      </c>
      <c r="P14" s="5" t="s">
        <v>3</v>
      </c>
      <c r="Q14" s="17" t="s">
        <v>7</v>
      </c>
      <c r="R14" s="17" t="s">
        <v>8</v>
      </c>
      <c r="S14" s="16" t="s">
        <v>2</v>
      </c>
      <c r="T14" s="17" t="s">
        <v>6</v>
      </c>
      <c r="U14" s="50">
        <v>3</v>
      </c>
      <c r="V14" s="50">
        <v>0</v>
      </c>
    </row>
    <row r="15" spans="1:27" ht="12" customHeight="1" x14ac:dyDescent="0.25">
      <c r="B15" s="5" t="s">
        <v>3</v>
      </c>
      <c r="C15" s="17" t="s">
        <v>6</v>
      </c>
      <c r="D15" s="17" t="s">
        <v>8</v>
      </c>
      <c r="E15" s="16" t="s">
        <v>2</v>
      </c>
      <c r="F15" s="17" t="s">
        <v>7</v>
      </c>
      <c r="G15" s="52">
        <v>3</v>
      </c>
      <c r="H15" s="52">
        <v>1</v>
      </c>
      <c r="O15" s="4">
        <v>11</v>
      </c>
      <c r="P15" s="5" t="s">
        <v>4</v>
      </c>
      <c r="Q15" s="17" t="s">
        <v>2</v>
      </c>
      <c r="R15" s="17" t="s">
        <v>7</v>
      </c>
      <c r="S15" s="16" t="s">
        <v>6</v>
      </c>
      <c r="T15" s="17" t="s">
        <v>8</v>
      </c>
      <c r="U15" s="50">
        <v>3</v>
      </c>
      <c r="V15" s="50">
        <v>0</v>
      </c>
    </row>
    <row r="16" spans="1:27" ht="12" customHeight="1" x14ac:dyDescent="0.25">
      <c r="B16" s="5" t="s">
        <v>5</v>
      </c>
      <c r="C16" s="17" t="s">
        <v>8</v>
      </c>
      <c r="D16" s="16" t="s">
        <v>7</v>
      </c>
      <c r="E16" s="17" t="s">
        <v>2</v>
      </c>
      <c r="F16" s="17" t="s">
        <v>6</v>
      </c>
      <c r="G16" s="52">
        <v>2</v>
      </c>
      <c r="H16" s="52">
        <v>0</v>
      </c>
      <c r="O16" s="4">
        <v>12</v>
      </c>
      <c r="P16" s="5" t="s">
        <v>4</v>
      </c>
      <c r="Q16" s="17" t="s">
        <v>8</v>
      </c>
      <c r="R16" s="17" t="s">
        <v>2</v>
      </c>
      <c r="S16" s="16" t="s">
        <v>6</v>
      </c>
      <c r="T16" s="17" t="s">
        <v>7</v>
      </c>
      <c r="U16" s="50">
        <v>3</v>
      </c>
      <c r="V16" s="50">
        <v>1</v>
      </c>
    </row>
    <row r="17" spans="2:27" ht="12" customHeight="1" x14ac:dyDescent="0.25">
      <c r="B17" s="5" t="s">
        <v>21</v>
      </c>
      <c r="C17" s="17" t="s">
        <v>7</v>
      </c>
      <c r="D17" s="17" t="s">
        <v>2</v>
      </c>
      <c r="E17" s="16" t="s">
        <v>6</v>
      </c>
      <c r="F17" s="17" t="s">
        <v>8</v>
      </c>
      <c r="G17" s="52">
        <v>3</v>
      </c>
      <c r="H17" s="52">
        <v>0</v>
      </c>
      <c r="O17" s="4">
        <v>13</v>
      </c>
      <c r="P17" s="5" t="s">
        <v>5</v>
      </c>
      <c r="Q17" s="17" t="s">
        <v>8</v>
      </c>
      <c r="R17" s="17" t="s">
        <v>2</v>
      </c>
      <c r="S17" s="17" t="s">
        <v>6</v>
      </c>
      <c r="T17" s="16" t="s">
        <v>7</v>
      </c>
      <c r="U17" s="50">
        <v>4</v>
      </c>
      <c r="V17" s="50">
        <v>0</v>
      </c>
    </row>
    <row r="18" spans="2:27" ht="12" customHeight="1" x14ac:dyDescent="0.25">
      <c r="B18" s="5" t="s">
        <v>21</v>
      </c>
      <c r="C18" s="17" t="s">
        <v>2</v>
      </c>
      <c r="D18" s="17" t="s">
        <v>7</v>
      </c>
      <c r="E18" s="16" t="s">
        <v>6</v>
      </c>
      <c r="F18" s="17" t="s">
        <v>8</v>
      </c>
      <c r="G18" s="52">
        <v>3</v>
      </c>
      <c r="H18" s="52">
        <v>1</v>
      </c>
      <c r="O18" s="50">
        <v>14</v>
      </c>
      <c r="P18" s="5" t="s">
        <v>3</v>
      </c>
      <c r="Q18" s="17" t="s">
        <v>6</v>
      </c>
      <c r="R18" s="17" t="s">
        <v>7</v>
      </c>
      <c r="S18" s="17" t="s">
        <v>8</v>
      </c>
      <c r="T18" s="16" t="s">
        <v>2</v>
      </c>
      <c r="U18" s="50">
        <v>4</v>
      </c>
      <c r="V18" s="50">
        <v>1</v>
      </c>
    </row>
    <row r="19" spans="2:27" ht="12" customHeight="1" x14ac:dyDescent="0.25">
      <c r="B19" s="5" t="s">
        <v>3</v>
      </c>
      <c r="C19" s="17" t="s">
        <v>7</v>
      </c>
      <c r="D19" s="17" t="s">
        <v>6</v>
      </c>
      <c r="E19" s="17" t="s">
        <v>8</v>
      </c>
      <c r="F19" s="16" t="s">
        <v>2</v>
      </c>
      <c r="G19" s="52">
        <v>4</v>
      </c>
      <c r="H19" s="52">
        <v>0</v>
      </c>
      <c r="O19" s="50">
        <v>15</v>
      </c>
      <c r="P19" s="5" t="s">
        <v>4</v>
      </c>
      <c r="Q19" s="16" t="s">
        <v>6</v>
      </c>
      <c r="R19" s="17" t="s">
        <v>7</v>
      </c>
      <c r="S19" s="17" t="s">
        <v>8</v>
      </c>
      <c r="T19" s="17" t="s">
        <v>2</v>
      </c>
      <c r="U19" s="50">
        <v>1</v>
      </c>
      <c r="V19" s="50">
        <v>1</v>
      </c>
    </row>
    <row r="20" spans="2:27" ht="12" customHeight="1" x14ac:dyDescent="0.25">
      <c r="B20" s="5" t="s">
        <v>20</v>
      </c>
      <c r="C20" s="17" t="s">
        <v>7</v>
      </c>
      <c r="D20" s="17" t="s">
        <v>6</v>
      </c>
      <c r="E20" s="17" t="s">
        <v>8</v>
      </c>
      <c r="F20" s="16" t="s">
        <v>2</v>
      </c>
      <c r="G20" s="52">
        <v>4</v>
      </c>
      <c r="H20" s="52">
        <v>1</v>
      </c>
      <c r="O20" s="50">
        <v>16</v>
      </c>
      <c r="P20" s="5" t="s">
        <v>3</v>
      </c>
      <c r="Q20" s="17" t="s">
        <v>8</v>
      </c>
      <c r="R20" s="17" t="s">
        <v>6</v>
      </c>
      <c r="S20" s="16" t="s">
        <v>2</v>
      </c>
      <c r="T20" s="17" t="s">
        <v>7</v>
      </c>
      <c r="U20" s="50">
        <v>3</v>
      </c>
      <c r="V20" s="50">
        <v>0</v>
      </c>
    </row>
    <row r="21" spans="2:27" ht="12" customHeight="1" x14ac:dyDescent="0.25">
      <c r="B21" s="5" t="s">
        <v>5</v>
      </c>
      <c r="C21" s="17" t="s">
        <v>8</v>
      </c>
      <c r="D21" s="17" t="s">
        <v>2</v>
      </c>
      <c r="E21" s="17" t="s">
        <v>6</v>
      </c>
      <c r="F21" s="16" t="s">
        <v>7</v>
      </c>
      <c r="G21" s="52">
        <v>4</v>
      </c>
      <c r="H21" s="52">
        <v>1</v>
      </c>
      <c r="O21" s="50">
        <v>17</v>
      </c>
      <c r="P21" s="5" t="s">
        <v>3</v>
      </c>
      <c r="Q21" s="17" t="s">
        <v>6</v>
      </c>
      <c r="R21" s="17" t="s">
        <v>8</v>
      </c>
      <c r="S21" s="16" t="s">
        <v>2</v>
      </c>
      <c r="T21" s="17" t="s">
        <v>7</v>
      </c>
      <c r="U21" s="50">
        <v>3</v>
      </c>
      <c r="V21" s="50">
        <v>1</v>
      </c>
    </row>
    <row r="22" spans="2:27" ht="12" customHeight="1" x14ac:dyDescent="0.25">
      <c r="B22" s="5" t="s">
        <v>20</v>
      </c>
      <c r="C22" s="17" t="s">
        <v>6</v>
      </c>
      <c r="D22" s="16" t="s">
        <v>2</v>
      </c>
      <c r="E22" s="17" t="s">
        <v>7</v>
      </c>
      <c r="F22" s="17" t="s">
        <v>8</v>
      </c>
      <c r="G22" s="52">
        <v>2</v>
      </c>
      <c r="H22" s="52">
        <v>0</v>
      </c>
      <c r="O22" s="50">
        <v>18</v>
      </c>
      <c r="P22" s="5" t="s">
        <v>5</v>
      </c>
      <c r="Q22" s="17" t="s">
        <v>8</v>
      </c>
      <c r="R22" s="16" t="s">
        <v>7</v>
      </c>
      <c r="S22" s="17" t="s">
        <v>2</v>
      </c>
      <c r="T22" s="17" t="s">
        <v>6</v>
      </c>
      <c r="U22" s="50">
        <v>2</v>
      </c>
      <c r="V22" s="50">
        <v>0</v>
      </c>
    </row>
    <row r="23" spans="2:27" ht="12" customHeight="1" x14ac:dyDescent="0.25">
      <c r="B23" s="5" t="s">
        <v>22</v>
      </c>
      <c r="C23" s="17" t="s">
        <v>8</v>
      </c>
      <c r="D23" s="17" t="s">
        <v>2</v>
      </c>
      <c r="E23" s="17" t="s">
        <v>6</v>
      </c>
      <c r="F23" s="16" t="s">
        <v>7</v>
      </c>
      <c r="G23" s="52">
        <v>4</v>
      </c>
      <c r="H23" s="52">
        <v>0</v>
      </c>
      <c r="P23"/>
      <c r="T23" s="50"/>
      <c r="U23" s="50"/>
      <c r="V23" s="50"/>
    </row>
    <row r="24" spans="2:27" ht="12" customHeight="1" x14ac:dyDescent="0.25">
      <c r="B24" s="5" t="s">
        <v>3</v>
      </c>
      <c r="C24" s="17" t="s">
        <v>6</v>
      </c>
      <c r="D24" s="16" t="s">
        <v>2</v>
      </c>
      <c r="E24" s="17" t="s">
        <v>7</v>
      </c>
      <c r="F24" s="17" t="s">
        <v>8</v>
      </c>
      <c r="G24" s="52">
        <v>2</v>
      </c>
      <c r="H24" s="52">
        <v>0</v>
      </c>
      <c r="O24" s="24" t="s">
        <v>3</v>
      </c>
      <c r="P24" s="25">
        <f>COUNTIF(B41:B58,"B1")</f>
        <v>0</v>
      </c>
      <c r="Q24" s="18" t="s">
        <v>2</v>
      </c>
      <c r="R24" s="18" t="s">
        <v>2</v>
      </c>
      <c r="S24" s="18" t="s">
        <v>2</v>
      </c>
      <c r="T24" s="18" t="s">
        <v>2</v>
      </c>
      <c r="U24" s="50"/>
      <c r="V24" s="50"/>
    </row>
    <row r="25" spans="2:27" ht="12" customHeight="1" x14ac:dyDescent="0.25">
      <c r="B25" s="5" t="s">
        <v>4</v>
      </c>
      <c r="C25" s="17" t="s">
        <v>7</v>
      </c>
      <c r="D25" s="17" t="s">
        <v>2</v>
      </c>
      <c r="E25" s="16" t="s">
        <v>6</v>
      </c>
      <c r="F25" s="17" t="s">
        <v>8</v>
      </c>
      <c r="G25" s="52">
        <v>3</v>
      </c>
      <c r="H25" s="52">
        <v>0</v>
      </c>
      <c r="O25" s="24" t="s">
        <v>4</v>
      </c>
      <c r="P25" s="25">
        <f>COUNTIF(B41:B58,"B2")</f>
        <v>0</v>
      </c>
      <c r="Q25" s="3">
        <f>COUNTIF(Q5:Q22,"A1")</f>
        <v>2</v>
      </c>
      <c r="R25" s="3">
        <f t="shared" ref="R25:T25" si="0">COUNTIF(R5:R22,"A1")</f>
        <v>7</v>
      </c>
      <c r="S25" s="3">
        <f t="shared" si="0"/>
        <v>5</v>
      </c>
      <c r="T25" s="3">
        <f t="shared" si="0"/>
        <v>4</v>
      </c>
      <c r="U25" s="20">
        <f>SUM(Q25:T25)</f>
        <v>18</v>
      </c>
      <c r="V25" s="50"/>
    </row>
    <row r="26" spans="2:27" ht="12" customHeight="1" x14ac:dyDescent="0.25">
      <c r="B26" s="5" t="s">
        <v>20</v>
      </c>
      <c r="C26" s="17" t="s">
        <v>7</v>
      </c>
      <c r="D26" s="17" t="s">
        <v>8</v>
      </c>
      <c r="E26" s="16" t="s">
        <v>2</v>
      </c>
      <c r="F26" s="17" t="s">
        <v>6</v>
      </c>
      <c r="G26" s="52">
        <v>3</v>
      </c>
      <c r="H26" s="52">
        <v>1</v>
      </c>
      <c r="O26" s="24" t="s">
        <v>5</v>
      </c>
      <c r="P26" s="25">
        <f>COUNTIF(B41:B58,"B3")</f>
        <v>0</v>
      </c>
      <c r="Q26" s="18" t="s">
        <v>6</v>
      </c>
      <c r="R26" s="18" t="s">
        <v>6</v>
      </c>
      <c r="S26" s="18" t="s">
        <v>6</v>
      </c>
      <c r="T26" s="18" t="s">
        <v>6</v>
      </c>
      <c r="U26" s="50"/>
      <c r="V26" s="50"/>
    </row>
    <row r="27" spans="2:27" ht="12" customHeight="1" x14ac:dyDescent="0.25">
      <c r="B27" s="5" t="s">
        <v>5</v>
      </c>
      <c r="C27" s="16" t="s">
        <v>7</v>
      </c>
      <c r="D27" s="17" t="s">
        <v>8</v>
      </c>
      <c r="E27" s="17" t="s">
        <v>6</v>
      </c>
      <c r="F27" s="17" t="s">
        <v>2</v>
      </c>
      <c r="G27" s="52">
        <v>1</v>
      </c>
      <c r="H27" s="52">
        <v>1</v>
      </c>
      <c r="O27" s="24" t="s">
        <v>2</v>
      </c>
      <c r="P27" s="25">
        <f>COUNTIF(B41:B58,"A1")</f>
        <v>0</v>
      </c>
      <c r="Q27" s="3">
        <f>COUNTIF(Q5:Q22,"A2")</f>
        <v>6</v>
      </c>
      <c r="R27" s="3">
        <f t="shared" ref="R27:T27" si="1">COUNTIF(R5:R22,"A2")</f>
        <v>3</v>
      </c>
      <c r="S27" s="3">
        <f t="shared" si="1"/>
        <v>6</v>
      </c>
      <c r="T27" s="3">
        <f t="shared" si="1"/>
        <v>3</v>
      </c>
      <c r="U27" s="20">
        <f>SUM(Q27:T27)</f>
        <v>18</v>
      </c>
      <c r="V27" s="50"/>
      <c r="AA27" s="50"/>
    </row>
    <row r="28" spans="2:27" ht="12" customHeight="1" x14ac:dyDescent="0.25">
      <c r="B28" s="5" t="s">
        <v>22</v>
      </c>
      <c r="C28" s="16" t="s">
        <v>7</v>
      </c>
      <c r="D28" s="17" t="s">
        <v>8</v>
      </c>
      <c r="E28" s="17" t="s">
        <v>2</v>
      </c>
      <c r="F28" s="17" t="s">
        <v>6</v>
      </c>
      <c r="G28" s="52">
        <v>1</v>
      </c>
      <c r="H28" s="52">
        <v>1</v>
      </c>
      <c r="O28" s="24" t="s">
        <v>6</v>
      </c>
      <c r="P28" s="25">
        <f>COUNTIF(B41:B58,"B2")</f>
        <v>0</v>
      </c>
      <c r="Q28" s="18" t="s">
        <v>7</v>
      </c>
      <c r="R28" s="18" t="s">
        <v>7</v>
      </c>
      <c r="S28" s="18" t="s">
        <v>7</v>
      </c>
      <c r="T28" s="18" t="s">
        <v>7</v>
      </c>
      <c r="U28" s="50"/>
      <c r="V28" s="50"/>
      <c r="AA28" s="50"/>
    </row>
    <row r="29" spans="2:27" ht="12" customHeight="1" x14ac:dyDescent="0.25">
      <c r="B29" s="5" t="s">
        <v>22</v>
      </c>
      <c r="C29" s="16" t="s">
        <v>7</v>
      </c>
      <c r="D29" s="17" t="s">
        <v>8</v>
      </c>
      <c r="E29" s="17" t="s">
        <v>6</v>
      </c>
      <c r="F29" s="17" t="s">
        <v>2</v>
      </c>
      <c r="G29" s="52">
        <v>1</v>
      </c>
      <c r="H29" s="52">
        <v>0</v>
      </c>
      <c r="O29" s="24" t="s">
        <v>7</v>
      </c>
      <c r="P29" s="25">
        <f>COUNTIF(B41:B58,"A3")</f>
        <v>0</v>
      </c>
      <c r="Q29" s="3">
        <f>COUNTIF(Q5:Q22,"A3")</f>
        <v>5</v>
      </c>
      <c r="R29" s="3">
        <f t="shared" ref="R29:T29" si="2">COUNTIF(R5:R22,"A3")</f>
        <v>4</v>
      </c>
      <c r="S29" s="3">
        <f t="shared" si="2"/>
        <v>3</v>
      </c>
      <c r="T29" s="3">
        <f t="shared" si="2"/>
        <v>6</v>
      </c>
      <c r="U29" s="20">
        <f>SUM(Q29:T29)</f>
        <v>18</v>
      </c>
      <c r="V29" s="50"/>
      <c r="AA29" s="50"/>
    </row>
    <row r="30" spans="2:27" ht="12" customHeight="1" x14ac:dyDescent="0.25">
      <c r="B30" s="5" t="s">
        <v>3</v>
      </c>
      <c r="C30" s="17" t="s">
        <v>7</v>
      </c>
      <c r="D30" s="17" t="s">
        <v>8</v>
      </c>
      <c r="E30" s="16" t="s">
        <v>2</v>
      </c>
      <c r="F30" s="17" t="s">
        <v>6</v>
      </c>
      <c r="G30" s="52">
        <v>3</v>
      </c>
      <c r="H30" s="52">
        <v>0</v>
      </c>
      <c r="O30" s="4"/>
      <c r="P30" s="3"/>
      <c r="Q30" s="18" t="s">
        <v>3</v>
      </c>
      <c r="R30" s="18" t="s">
        <v>3</v>
      </c>
      <c r="S30" s="18" t="s">
        <v>3</v>
      </c>
      <c r="T30" s="18" t="s">
        <v>3</v>
      </c>
      <c r="U30" s="50"/>
      <c r="V30" s="50"/>
      <c r="AA30" s="50"/>
    </row>
    <row r="31" spans="2:27" ht="12" customHeight="1" x14ac:dyDescent="0.25">
      <c r="B31" s="5" t="s">
        <v>22</v>
      </c>
      <c r="C31" s="17" t="s">
        <v>8</v>
      </c>
      <c r="D31" s="17" t="s">
        <v>2</v>
      </c>
      <c r="E31" s="17" t="s">
        <v>6</v>
      </c>
      <c r="F31" s="16" t="s">
        <v>7</v>
      </c>
      <c r="G31" s="52">
        <v>4</v>
      </c>
      <c r="H31" s="52">
        <v>0</v>
      </c>
      <c r="O31" s="4"/>
      <c r="P31" s="3"/>
      <c r="Q31" s="3">
        <f>COUNTIF(Q5:Q22,"B1")</f>
        <v>0</v>
      </c>
      <c r="R31" s="3">
        <f t="shared" ref="R31:T31" si="3">COUNTIF(R5:R22,"B1")</f>
        <v>0</v>
      </c>
      <c r="S31" s="3">
        <f t="shared" si="3"/>
        <v>0</v>
      </c>
      <c r="T31" s="3">
        <f t="shared" si="3"/>
        <v>0</v>
      </c>
      <c r="U31" s="20">
        <f>SUM(Q31:T31)</f>
        <v>0</v>
      </c>
      <c r="V31" s="50"/>
      <c r="AA31" s="50"/>
    </row>
    <row r="32" spans="2:27" ht="12" customHeight="1" x14ac:dyDescent="0.25">
      <c r="B32" s="5" t="s">
        <v>21</v>
      </c>
      <c r="C32" s="17" t="s">
        <v>8</v>
      </c>
      <c r="D32" s="17" t="s">
        <v>2</v>
      </c>
      <c r="E32" s="16" t="s">
        <v>6</v>
      </c>
      <c r="F32" s="17" t="s">
        <v>7</v>
      </c>
      <c r="G32" s="52">
        <v>3</v>
      </c>
      <c r="H32" s="52">
        <v>1</v>
      </c>
      <c r="O32" s="4"/>
      <c r="P32" s="3"/>
      <c r="Q32" s="18" t="s">
        <v>4</v>
      </c>
      <c r="R32" s="18" t="s">
        <v>4</v>
      </c>
      <c r="S32" s="18" t="s">
        <v>4</v>
      </c>
      <c r="T32" s="18" t="s">
        <v>4</v>
      </c>
      <c r="U32" s="50"/>
      <c r="V32" s="50"/>
      <c r="AA32" s="50"/>
    </row>
    <row r="33" spans="2:32" ht="12" customHeight="1" x14ac:dyDescent="0.25">
      <c r="B33" s="5" t="s">
        <v>4</v>
      </c>
      <c r="C33" s="16" t="s">
        <v>6</v>
      </c>
      <c r="D33" s="17" t="s">
        <v>7</v>
      </c>
      <c r="E33" s="17" t="s">
        <v>8</v>
      </c>
      <c r="F33" s="17" t="s">
        <v>2</v>
      </c>
      <c r="G33" s="52">
        <v>1</v>
      </c>
      <c r="H33" s="52">
        <v>1</v>
      </c>
      <c r="O33" s="4"/>
      <c r="P33" s="3"/>
      <c r="Q33" s="3">
        <f>COUNTIF(Q5:Q22,"B2")</f>
        <v>0</v>
      </c>
      <c r="R33" s="3">
        <f t="shared" ref="R33:T33" si="4">COUNTIF(R5:R22,"B2")</f>
        <v>0</v>
      </c>
      <c r="S33" s="3">
        <f t="shared" si="4"/>
        <v>0</v>
      </c>
      <c r="T33" s="3">
        <f t="shared" si="4"/>
        <v>0</v>
      </c>
      <c r="U33" s="20">
        <f>SUM(Q33:T33)</f>
        <v>0</v>
      </c>
      <c r="V33" s="50"/>
      <c r="AA33" s="50"/>
    </row>
    <row r="34" spans="2:32" ht="12" customHeight="1" x14ac:dyDescent="0.25">
      <c r="B34" s="5" t="s">
        <v>4</v>
      </c>
      <c r="C34" s="17" t="s">
        <v>2</v>
      </c>
      <c r="D34" s="16" t="s">
        <v>6</v>
      </c>
      <c r="E34" s="17" t="s">
        <v>7</v>
      </c>
      <c r="F34" s="17" t="s">
        <v>8</v>
      </c>
      <c r="G34" s="52">
        <v>2</v>
      </c>
      <c r="H34" s="52">
        <v>1</v>
      </c>
      <c r="O34" s="4"/>
      <c r="P34" s="3"/>
      <c r="Q34" s="18" t="s">
        <v>5</v>
      </c>
      <c r="R34" s="18" t="s">
        <v>5</v>
      </c>
      <c r="S34" s="18" t="s">
        <v>5</v>
      </c>
      <c r="T34" s="18" t="s">
        <v>5</v>
      </c>
      <c r="U34" s="50"/>
      <c r="V34" s="50"/>
      <c r="AA34" s="50"/>
    </row>
    <row r="35" spans="2:32" ht="12" customHeight="1" x14ac:dyDescent="0.25">
      <c r="B35" s="5" t="s">
        <v>20</v>
      </c>
      <c r="C35" s="17" t="s">
        <v>6</v>
      </c>
      <c r="D35" s="17" t="s">
        <v>7</v>
      </c>
      <c r="E35" s="17" t="s">
        <v>8</v>
      </c>
      <c r="F35" s="16" t="s">
        <v>2</v>
      </c>
      <c r="G35" s="52">
        <v>4</v>
      </c>
      <c r="H35" s="52">
        <v>1</v>
      </c>
      <c r="O35" s="4"/>
      <c r="P35" s="3"/>
      <c r="Q35" s="3">
        <f>COUNTIF(Q5:Q22,"B3")</f>
        <v>0</v>
      </c>
      <c r="R35" s="3">
        <f t="shared" ref="R35:T35" si="5">COUNTIF(R5:R22,"B3")</f>
        <v>0</v>
      </c>
      <c r="S35" s="3">
        <f t="shared" si="5"/>
        <v>0</v>
      </c>
      <c r="T35" s="3">
        <f t="shared" si="5"/>
        <v>0</v>
      </c>
      <c r="U35" s="20">
        <f>SUM(Q35:T35)</f>
        <v>0</v>
      </c>
      <c r="V35" s="50"/>
      <c r="AA35" s="50"/>
    </row>
    <row r="36" spans="2:32" ht="12" customHeight="1" x14ac:dyDescent="0.25">
      <c r="B36" s="5" t="s">
        <v>21</v>
      </c>
      <c r="C36" s="17" t="s">
        <v>2</v>
      </c>
      <c r="D36" s="16" t="s">
        <v>6</v>
      </c>
      <c r="E36" s="17" t="s">
        <v>7</v>
      </c>
      <c r="F36" s="17" t="s">
        <v>8</v>
      </c>
      <c r="G36" s="52">
        <v>2</v>
      </c>
      <c r="H36" s="52">
        <v>1</v>
      </c>
      <c r="P36"/>
      <c r="T36" s="50"/>
      <c r="U36" s="50"/>
      <c r="V36" s="50"/>
      <c r="AA36" s="50"/>
    </row>
    <row r="37" spans="2:32" ht="12" customHeight="1" x14ac:dyDescent="0.25">
      <c r="B37" s="5" t="s">
        <v>4</v>
      </c>
      <c r="C37" s="16" t="s">
        <v>6</v>
      </c>
      <c r="D37" s="17" t="s">
        <v>2</v>
      </c>
      <c r="E37" s="17" t="s">
        <v>7</v>
      </c>
      <c r="F37" s="17" t="s">
        <v>8</v>
      </c>
      <c r="G37" s="52">
        <v>1</v>
      </c>
      <c r="H37" s="52">
        <v>1</v>
      </c>
      <c r="P37"/>
      <c r="T37" s="50"/>
      <c r="U37" s="50"/>
      <c r="V37" s="50"/>
      <c r="AA37" s="50"/>
    </row>
    <row r="38" spans="2:32" ht="12" customHeight="1" x14ac:dyDescent="0.25">
      <c r="B38" s="5" t="s">
        <v>21</v>
      </c>
      <c r="C38" s="16" t="s">
        <v>6</v>
      </c>
      <c r="D38" s="17" t="s">
        <v>2</v>
      </c>
      <c r="E38" s="17" t="s">
        <v>7</v>
      </c>
      <c r="F38" s="17" t="s">
        <v>8</v>
      </c>
      <c r="G38" s="52">
        <v>1</v>
      </c>
      <c r="H38" s="52">
        <v>0</v>
      </c>
      <c r="P38"/>
      <c r="T38" s="50"/>
      <c r="U38" s="50"/>
      <c r="V38" s="50"/>
      <c r="AA38" s="50"/>
    </row>
    <row r="39" spans="2:32" ht="12" customHeight="1" x14ac:dyDescent="0.25">
      <c r="B39" s="5" t="s">
        <v>5</v>
      </c>
      <c r="C39" s="17" t="s">
        <v>8</v>
      </c>
      <c r="D39" s="17" t="s">
        <v>2</v>
      </c>
      <c r="E39" s="17" t="s">
        <v>6</v>
      </c>
      <c r="F39" s="16" t="s">
        <v>7</v>
      </c>
      <c r="G39" s="52">
        <v>4</v>
      </c>
      <c r="H39" s="52">
        <v>0</v>
      </c>
      <c r="I39" s="4"/>
      <c r="J39" s="4"/>
      <c r="K39" s="4"/>
      <c r="L39" s="4"/>
      <c r="M39" s="4"/>
      <c r="N39" s="4"/>
      <c r="P39"/>
      <c r="T39" s="50"/>
      <c r="U39" s="50"/>
      <c r="V39" s="50"/>
    </row>
    <row r="40" spans="2:32" ht="12" customHeight="1" x14ac:dyDescent="0.25">
      <c r="B40" s="5" t="s">
        <v>20</v>
      </c>
      <c r="C40" s="17" t="s">
        <v>6</v>
      </c>
      <c r="D40" s="17" t="s">
        <v>8</v>
      </c>
      <c r="E40" s="16" t="s">
        <v>2</v>
      </c>
      <c r="F40" s="17" t="s">
        <v>7</v>
      </c>
      <c r="G40" s="52">
        <v>3</v>
      </c>
      <c r="H40" s="52">
        <v>1</v>
      </c>
      <c r="P40"/>
      <c r="T40" s="50"/>
      <c r="U40" s="50"/>
      <c r="V40" s="50"/>
    </row>
    <row r="41" spans="2:32" ht="12" customHeight="1" x14ac:dyDescent="0.25"/>
    <row r="42" spans="2:32" ht="12" customHeight="1" x14ac:dyDescent="0.25"/>
    <row r="43" spans="2:32" ht="12" customHeight="1" x14ac:dyDescent="0.25"/>
    <row r="44" spans="2:32" ht="12" customHeight="1" x14ac:dyDescent="0.25">
      <c r="AF44"/>
    </row>
    <row r="45" spans="2:32" ht="12" customHeight="1" x14ac:dyDescent="0.25">
      <c r="AF45"/>
    </row>
    <row r="46" spans="2:32" ht="12" customHeight="1" x14ac:dyDescent="0.25">
      <c r="AF46"/>
    </row>
    <row r="47" spans="2:32" ht="12" customHeight="1" x14ac:dyDescent="0.25">
      <c r="AF47"/>
    </row>
    <row r="48" spans="2:32" ht="12" customHeight="1" x14ac:dyDescent="0.25">
      <c r="AF48"/>
    </row>
    <row r="49" spans="32:32" ht="12" customHeight="1" x14ac:dyDescent="0.25">
      <c r="AF49"/>
    </row>
    <row r="50" spans="32:32" ht="12" customHeight="1" x14ac:dyDescent="0.25"/>
    <row r="51" spans="32:32" ht="12" customHeight="1" x14ac:dyDescent="0.25"/>
    <row r="52" spans="32:32" ht="12" customHeight="1" x14ac:dyDescent="0.25"/>
    <row r="53" spans="32:32" ht="12" customHeight="1" x14ac:dyDescent="0.25"/>
    <row r="54" spans="32:32" ht="12" customHeight="1" x14ac:dyDescent="0.25"/>
    <row r="55" spans="32:32" ht="12" customHeight="1" x14ac:dyDescent="0.25"/>
    <row r="56" spans="32:32" ht="12" customHeight="1" x14ac:dyDescent="0.25"/>
    <row r="57" spans="32:32" ht="12" customHeight="1" x14ac:dyDescent="0.25"/>
    <row r="58" spans="32:32" ht="12" customHeight="1" x14ac:dyDescent="0.25"/>
    <row r="59" spans="32:32" ht="12" customHeight="1" x14ac:dyDescent="0.25"/>
    <row r="60" spans="32:32" ht="12" customHeight="1" x14ac:dyDescent="0.25"/>
    <row r="61" spans="32:32" ht="12" customHeight="1" x14ac:dyDescent="0.25"/>
    <row r="62" spans="32:32" ht="12" customHeight="1" x14ac:dyDescent="0.25"/>
    <row r="63" spans="32:32" ht="12" customHeight="1" x14ac:dyDescent="0.25"/>
    <row r="64" spans="32:32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Plan1</vt:lpstr>
      <vt:lpstr>Plan2</vt:lpstr>
      <vt:lpstr>TesteBA,AB</vt:lpstr>
      <vt:lpstr>Treino BA</vt:lpstr>
      <vt:lpstr>Treino CA</vt:lpstr>
      <vt:lpstr>Treino CABA 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2019-01-26T17:32:28Z</dcterms:modified>
</cp:coreProperties>
</file>